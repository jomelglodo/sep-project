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drawings/drawing3.xml" ContentType="application/vnd.openxmlformats-officedocument.drawing+xml"/>
  <Override PartName="/xl/ink/ink3.xml" ContentType="application/inkml+xml"/>
  <Override PartName="/xl/drawings/drawing4.xml" ContentType="application/vnd.openxmlformats-officedocument.drawing+xml"/>
  <Override PartName="/xl/ink/ink4.xml" ContentType="application/inkml+xml"/>
  <Override PartName="/xl/drawings/drawing5.xml" ContentType="application/vnd.openxmlformats-officedocument.drawing+xml"/>
  <Override PartName="/xl/ink/ink5.xml" ContentType="application/inkml+xml"/>
  <Override PartName="/xl/drawings/drawing6.xml" ContentType="application/vnd.openxmlformats-officedocument.drawing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T\Desktop\Programs(PostgreSQL)\SEPProgram\sepprogram\server\templates\"/>
    </mc:Choice>
  </mc:AlternateContent>
  <xr:revisionPtr revIDLastSave="0" documentId="13_ncr:1_{B2451316-7D1C-44D4-B14D-D967179B5CD2}" xr6:coauthVersionLast="47" xr6:coauthVersionMax="47" xr10:uidLastSave="{00000000-0000-0000-0000-000000000000}"/>
  <bookViews>
    <workbookView xWindow="-28920" yWindow="-2760" windowWidth="29040" windowHeight="15720" activeTab="5" xr2:uid="{EF222451-EA62-4DBA-A876-5BEC24B65ECC}"/>
  </bookViews>
  <sheets>
    <sheet name="RIS_1" sheetId="1" r:id="rId1"/>
    <sheet name="RIS_2" sheetId="2" r:id="rId2"/>
    <sheet name="RIS_3" sheetId="3" r:id="rId3"/>
    <sheet name="RIS_4" sheetId="4" r:id="rId4"/>
    <sheet name="RIS_5" sheetId="5" r:id="rId5"/>
    <sheet name="ORIGINAL" sheetId="6" r:id="rId6"/>
  </sheets>
  <definedNames>
    <definedName name="_xlnm.Print_Area" localSheetId="5">ORIGINAL!$B$1:$AH$64</definedName>
    <definedName name="_xlnm.Print_Area" localSheetId="0">RIS_1!$B$1:$AH$64</definedName>
    <definedName name="_xlnm.Print_Area" localSheetId="1">RIS_2!$B$1:$AH$64</definedName>
    <definedName name="_xlnm.Print_Area" localSheetId="2">RIS_3!$B$1:$AH$64</definedName>
    <definedName name="_xlnm.Print_Area" localSheetId="3">RIS_4!$B$1:$AH$64</definedName>
    <definedName name="_xlnm.Print_Area" localSheetId="4">RIS_5!$B$1:$AH$64</definedName>
    <definedName name="Z_0E439E22_808C_4E34_82F7_0F5896F4677A_.wvu.Cols" localSheetId="5" hidden="1">ORIGINAL!$A:$A,ORIGINAL!$AL:$BC,ORIGINAL!$BF:$BH</definedName>
    <definedName name="Z_0E439E22_808C_4E34_82F7_0F5896F4677A_.wvu.Cols" localSheetId="0" hidden="1">RIS_1!$A:$A,RIS_1!$AL:$BC,RIS_1!$BF:$BH</definedName>
    <definedName name="Z_0E439E22_808C_4E34_82F7_0F5896F4677A_.wvu.Cols" localSheetId="1" hidden="1">RIS_2!$A:$A,RIS_2!$AL:$BC,RIS_2!$BF:$BH</definedName>
    <definedName name="Z_0E439E22_808C_4E34_82F7_0F5896F4677A_.wvu.Cols" localSheetId="2" hidden="1">RIS_3!$A:$A,RIS_3!$AL:$BC,RIS_3!$BF:$BH</definedName>
    <definedName name="Z_0E439E22_808C_4E34_82F7_0F5896F4677A_.wvu.Cols" localSheetId="3" hidden="1">RIS_4!$A:$A,RIS_4!$AL:$BC,RIS_4!$BF:$BH</definedName>
    <definedName name="Z_0E439E22_808C_4E34_82F7_0F5896F4677A_.wvu.Cols" localSheetId="4" hidden="1">RIS_5!$A:$A,RIS_5!$AL:$BC,RIS_5!$BF:$BH</definedName>
    <definedName name="Z_0E439E22_808C_4E34_82F7_0F5896F4677A_.wvu.PrintArea" localSheetId="5" hidden="1">ORIGINAL!$B$1:$AH$64</definedName>
    <definedName name="Z_0E439E22_808C_4E34_82F7_0F5896F4677A_.wvu.PrintArea" localSheetId="0" hidden="1">RIS_1!$B$1:$AH$64</definedName>
    <definedName name="Z_0E439E22_808C_4E34_82F7_0F5896F4677A_.wvu.PrintArea" localSheetId="1" hidden="1">RIS_2!$B$1:$AH$64</definedName>
    <definedName name="Z_0E439E22_808C_4E34_82F7_0F5896F4677A_.wvu.PrintArea" localSheetId="2" hidden="1">RIS_3!$B$1:$AH$64</definedName>
    <definedName name="Z_0E439E22_808C_4E34_82F7_0F5896F4677A_.wvu.PrintArea" localSheetId="3" hidden="1">RIS_4!$B$1:$AH$64</definedName>
    <definedName name="Z_0E439E22_808C_4E34_82F7_0F5896F4677A_.wvu.PrintArea" localSheetId="4" hidden="1">RIS_5!$B$1:$AH$64</definedName>
    <definedName name="Z_0E439E22_808C_4E34_82F7_0F5896F4677A_.wvu.Rows" localSheetId="5" hidden="1">ORIGINAL!$1:$1,ORIGINAL!$31:$33,ORIGINAL!$36:$36</definedName>
    <definedName name="Z_0E439E22_808C_4E34_82F7_0F5896F4677A_.wvu.Rows" localSheetId="0" hidden="1">RIS_1!$1:$1,RIS_1!$31:$33,RIS_1!$36:$36</definedName>
    <definedName name="Z_0E439E22_808C_4E34_82F7_0F5896F4677A_.wvu.Rows" localSheetId="1" hidden="1">RIS_2!$1:$1,RIS_2!$31:$33,RIS_2!$36:$36</definedName>
    <definedName name="Z_0E439E22_808C_4E34_82F7_0F5896F4677A_.wvu.Rows" localSheetId="2" hidden="1">RIS_3!$1:$1,RIS_3!$31:$33,RIS_3!$36:$36</definedName>
    <definedName name="Z_0E439E22_808C_4E34_82F7_0F5896F4677A_.wvu.Rows" localSheetId="3" hidden="1">RIS_4!$1:$1,RIS_4!$31:$33,RIS_4!$36:$36</definedName>
    <definedName name="Z_0E439E22_808C_4E34_82F7_0F5896F4677A_.wvu.Rows" localSheetId="4" hidden="1">RIS_5!$1:$1,RIS_5!$31:$33,RIS_5!$36:$36</definedName>
    <definedName name="Z_433C61F0_2C3C_4C46_BB19_351CD7B618F9_.wvu.Cols" localSheetId="5" hidden="1">ORIGINAL!$A:$A,ORIGINAL!$AL:$BC,ORIGINAL!$BF:$BH</definedName>
    <definedName name="Z_433C61F0_2C3C_4C46_BB19_351CD7B618F9_.wvu.Cols" localSheetId="0" hidden="1">RIS_1!$A:$A,RIS_1!$AL:$BC,RIS_1!$BF:$BH</definedName>
    <definedName name="Z_433C61F0_2C3C_4C46_BB19_351CD7B618F9_.wvu.Cols" localSheetId="1" hidden="1">RIS_2!$A:$A,RIS_2!$AL:$BC,RIS_2!$BF:$BH</definedName>
    <definedName name="Z_433C61F0_2C3C_4C46_BB19_351CD7B618F9_.wvu.Cols" localSheetId="2" hidden="1">RIS_3!$A:$A,RIS_3!$AL:$BC,RIS_3!$BF:$BH</definedName>
    <definedName name="Z_433C61F0_2C3C_4C46_BB19_351CD7B618F9_.wvu.Cols" localSheetId="3" hidden="1">RIS_4!$A:$A,RIS_4!$AL:$BC,RIS_4!$BF:$BH</definedName>
    <definedName name="Z_433C61F0_2C3C_4C46_BB19_351CD7B618F9_.wvu.Cols" localSheetId="4" hidden="1">RIS_5!$A:$A,RIS_5!$AL:$BC,RIS_5!$BF:$BH</definedName>
    <definedName name="Z_433C61F0_2C3C_4C46_BB19_351CD7B618F9_.wvu.PrintArea" localSheetId="5" hidden="1">ORIGINAL!$B$1:$AH$64</definedName>
    <definedName name="Z_433C61F0_2C3C_4C46_BB19_351CD7B618F9_.wvu.PrintArea" localSheetId="0" hidden="1">RIS_1!$B$1:$AH$64</definedName>
    <definedName name="Z_433C61F0_2C3C_4C46_BB19_351CD7B618F9_.wvu.PrintArea" localSheetId="1" hidden="1">RIS_2!$B$1:$AH$64</definedName>
    <definedName name="Z_433C61F0_2C3C_4C46_BB19_351CD7B618F9_.wvu.PrintArea" localSheetId="2" hidden="1">RIS_3!$B$1:$AH$64</definedName>
    <definedName name="Z_433C61F0_2C3C_4C46_BB19_351CD7B618F9_.wvu.PrintArea" localSheetId="3" hidden="1">RIS_4!$B$1:$AH$64</definedName>
    <definedName name="Z_433C61F0_2C3C_4C46_BB19_351CD7B618F9_.wvu.PrintArea" localSheetId="4" hidden="1">RIS_5!$B$1:$AH$64</definedName>
    <definedName name="Z_433C61F0_2C3C_4C46_BB19_351CD7B618F9_.wvu.Rows" localSheetId="5" hidden="1">ORIGINAL!$1:$1,ORIGINAL!$31:$33,ORIGINAL!$36:$36</definedName>
    <definedName name="Z_433C61F0_2C3C_4C46_BB19_351CD7B618F9_.wvu.Rows" localSheetId="0" hidden="1">RIS_1!$1:$1,RIS_1!$31:$33,RIS_1!$36:$36</definedName>
    <definedName name="Z_433C61F0_2C3C_4C46_BB19_351CD7B618F9_.wvu.Rows" localSheetId="1" hidden="1">RIS_2!$1:$1,RIS_2!$31:$33,RIS_2!$36:$36</definedName>
    <definedName name="Z_433C61F0_2C3C_4C46_BB19_351CD7B618F9_.wvu.Rows" localSheetId="2" hidden="1">RIS_3!$1:$1,RIS_3!$31:$33,RIS_3!$36:$36</definedName>
    <definedName name="Z_433C61F0_2C3C_4C46_BB19_351CD7B618F9_.wvu.Rows" localSheetId="3" hidden="1">RIS_4!$1:$1,RIS_4!$31:$33,RIS_4!$36:$36</definedName>
    <definedName name="Z_433C61F0_2C3C_4C46_BB19_351CD7B618F9_.wvu.Rows" localSheetId="4" hidden="1">RIS_5!$1:$1,RIS_5!$31:$33,RIS_5!$36:$36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62" i="6" l="1"/>
  <c r="S60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62" i="6" s="1"/>
  <c r="W40" i="6"/>
  <c r="O40" i="6"/>
  <c r="O39" i="6"/>
  <c r="F39" i="6"/>
  <c r="W38" i="6"/>
  <c r="AO27" i="6"/>
  <c r="AN19" i="6"/>
  <c r="AP19" i="6" s="1"/>
  <c r="AN18" i="6"/>
  <c r="AP18" i="6" s="1"/>
  <c r="AN17" i="6"/>
  <c r="AP17" i="6" s="1"/>
  <c r="AN16" i="6"/>
  <c r="AP16" i="6" s="1"/>
  <c r="AN15" i="6"/>
  <c r="AP15" i="6" s="1"/>
  <c r="AN14" i="6"/>
  <c r="AP14" i="6" s="1"/>
  <c r="AN13" i="6"/>
  <c r="AP13" i="6" s="1"/>
  <c r="AN12" i="6"/>
  <c r="AP12" i="6" s="1"/>
  <c r="AP27" i="6" s="1"/>
  <c r="AO62" i="5"/>
  <c r="S60" i="5"/>
  <c r="AP58" i="5"/>
  <c r="AP57" i="5"/>
  <c r="AP56" i="5"/>
  <c r="AP55" i="5"/>
  <c r="AP54" i="5"/>
  <c r="AP53" i="5"/>
  <c r="AP52" i="5"/>
  <c r="AP51" i="5"/>
  <c r="AP50" i="5"/>
  <c r="AP49" i="5"/>
  <c r="AP48" i="5"/>
  <c r="AP47" i="5"/>
  <c r="AP62" i="5" s="1"/>
  <c r="W40" i="5"/>
  <c r="O40" i="5"/>
  <c r="O39" i="5"/>
  <c r="F39" i="5"/>
  <c r="W38" i="5"/>
  <c r="AO27" i="5"/>
  <c r="AN19" i="5"/>
  <c r="AP19" i="5" s="1"/>
  <c r="AN18" i="5"/>
  <c r="AP18" i="5" s="1"/>
  <c r="AN17" i="5"/>
  <c r="AP17" i="5" s="1"/>
  <c r="AN16" i="5"/>
  <c r="AP16" i="5" s="1"/>
  <c r="AN15" i="5"/>
  <c r="AP15" i="5" s="1"/>
  <c r="AP14" i="5"/>
  <c r="AN14" i="5"/>
  <c r="AN13" i="5"/>
  <c r="AP13" i="5" s="1"/>
  <c r="AN12" i="5"/>
  <c r="AP12" i="5" s="1"/>
  <c r="AP27" i="5" s="1"/>
  <c r="AO62" i="4"/>
  <c r="S60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62" i="4" s="1"/>
  <c r="W40" i="4"/>
  <c r="O40" i="4"/>
  <c r="O39" i="4"/>
  <c r="F39" i="4"/>
  <c r="W38" i="4"/>
  <c r="AO27" i="4"/>
  <c r="AN19" i="4"/>
  <c r="AP19" i="4" s="1"/>
  <c r="AN18" i="4"/>
  <c r="AP18" i="4" s="1"/>
  <c r="AN17" i="4"/>
  <c r="AP17" i="4" s="1"/>
  <c r="AN16" i="4"/>
  <c r="AP16" i="4" s="1"/>
  <c r="AN15" i="4"/>
  <c r="AP15" i="4" s="1"/>
  <c r="AN14" i="4"/>
  <c r="AP14" i="4" s="1"/>
  <c r="AN13" i="4"/>
  <c r="AP13" i="4" s="1"/>
  <c r="AN12" i="4"/>
  <c r="AP12" i="4" s="1"/>
  <c r="AP27" i="4" s="1"/>
  <c r="AO62" i="3"/>
  <c r="S60" i="3"/>
  <c r="AP58" i="3"/>
  <c r="AP57" i="3"/>
  <c r="AP56" i="3"/>
  <c r="AP55" i="3"/>
  <c r="AP54" i="3"/>
  <c r="AP53" i="3"/>
  <c r="AP52" i="3"/>
  <c r="AP51" i="3"/>
  <c r="AP50" i="3"/>
  <c r="AP49" i="3"/>
  <c r="AP48" i="3"/>
  <c r="AP47" i="3"/>
  <c r="AP62" i="3" s="1"/>
  <c r="W40" i="3"/>
  <c r="O40" i="3"/>
  <c r="O39" i="3"/>
  <c r="F39" i="3"/>
  <c r="W38" i="3"/>
  <c r="AO27" i="3"/>
  <c r="AN19" i="3"/>
  <c r="AP19" i="3" s="1"/>
  <c r="AN18" i="3"/>
  <c r="AP18" i="3" s="1"/>
  <c r="AN17" i="3"/>
  <c r="AP17" i="3" s="1"/>
  <c r="AN16" i="3"/>
  <c r="AP16" i="3" s="1"/>
  <c r="AN15" i="3"/>
  <c r="AP15" i="3" s="1"/>
  <c r="AN14" i="3"/>
  <c r="AP14" i="3" s="1"/>
  <c r="AN13" i="3"/>
  <c r="AP13" i="3" s="1"/>
  <c r="AN12" i="3"/>
  <c r="AP12" i="3" s="1"/>
  <c r="AP27" i="3" s="1"/>
  <c r="AO62" i="2"/>
  <c r="S60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62" i="2" s="1"/>
  <c r="W40" i="2"/>
  <c r="O40" i="2"/>
  <c r="O39" i="2"/>
  <c r="F39" i="2"/>
  <c r="W38" i="2"/>
  <c r="AO27" i="2"/>
  <c r="AP19" i="2"/>
  <c r="AN19" i="2"/>
  <c r="AN18" i="2"/>
  <c r="AP18" i="2" s="1"/>
  <c r="AN17" i="2"/>
  <c r="AP17" i="2" s="1"/>
  <c r="AN16" i="2"/>
  <c r="AP16" i="2" s="1"/>
  <c r="AN15" i="2"/>
  <c r="AP15" i="2" s="1"/>
  <c r="AN14" i="2"/>
  <c r="AP14" i="2" s="1"/>
  <c r="AN13" i="2"/>
  <c r="AP13" i="2" s="1"/>
  <c r="AN12" i="2"/>
  <c r="AP12" i="2" s="1"/>
  <c r="AP27" i="2" s="1"/>
  <c r="AO62" i="1"/>
  <c r="S60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62" i="1" s="1"/>
  <c r="W40" i="1"/>
  <c r="O40" i="1"/>
  <c r="O39" i="1"/>
  <c r="F39" i="1"/>
  <c r="W38" i="1"/>
  <c r="AO27" i="1"/>
  <c r="AN19" i="1"/>
  <c r="AP19" i="1" s="1"/>
  <c r="AP18" i="1"/>
  <c r="AN18" i="1"/>
  <c r="AN17" i="1"/>
  <c r="AP17" i="1" s="1"/>
  <c r="AN16" i="1"/>
  <c r="AP16" i="1" s="1"/>
  <c r="AP15" i="1"/>
  <c r="AN15" i="1"/>
  <c r="AN14" i="1"/>
  <c r="AP14" i="1" s="1"/>
  <c r="AN13" i="1"/>
  <c r="AP13" i="1" s="1"/>
  <c r="AP12" i="1"/>
  <c r="AN12" i="1"/>
  <c r="AP27" i="1" l="1"/>
</calcChain>
</file>

<file path=xl/sharedStrings.xml><?xml version="1.0" encoding="utf-8"?>
<sst xmlns="http://schemas.openxmlformats.org/spreadsheetml/2006/main" count="570" uniqueCount="50">
  <si>
    <t>Requisition and Issuance Slip (RIS)</t>
  </si>
  <si>
    <t>Request</t>
  </si>
  <si>
    <t>PPC Approve</t>
  </si>
  <si>
    <t>PPC Issue</t>
  </si>
  <si>
    <t>Receive</t>
  </si>
  <si>
    <t>√</t>
  </si>
  <si>
    <t>Section</t>
  </si>
  <si>
    <t>CTRL No.</t>
  </si>
  <si>
    <t>Doc. No.</t>
  </si>
  <si>
    <t>F-WH01-6</t>
  </si>
  <si>
    <t>Date</t>
  </si>
  <si>
    <t xml:space="preserve"> Direct Materials</t>
  </si>
  <si>
    <t xml:space="preserve"> Consumables-Import</t>
  </si>
  <si>
    <t xml:space="preserve"> Indirect Materials</t>
  </si>
  <si>
    <t xml:space="preserve"> Consumables-Local</t>
  </si>
  <si>
    <t>Date &amp; Sign</t>
  </si>
  <si>
    <t>Requesting Section</t>
  </si>
  <si>
    <t>Warehouse</t>
  </si>
  <si>
    <t>No</t>
  </si>
  <si>
    <t>Type No.</t>
  </si>
  <si>
    <t>Part Name</t>
  </si>
  <si>
    <t>Quantity</t>
  </si>
  <si>
    <t>Unit</t>
  </si>
  <si>
    <t>Remarks</t>
  </si>
  <si>
    <t>Per lots/quantity</t>
  </si>
  <si>
    <t>Input Lots</t>
  </si>
  <si>
    <t>Lot Qty</t>
  </si>
  <si>
    <t>Prd std stock</t>
  </si>
  <si>
    <t>Actual Prd stocks</t>
  </si>
  <si>
    <t>DOA01016</t>
  </si>
  <si>
    <t>103KT1608T-1P</t>
  </si>
  <si>
    <t>DOA01012</t>
  </si>
  <si>
    <t>503KT1608T-1P</t>
  </si>
  <si>
    <t>DOA01020</t>
  </si>
  <si>
    <t>104KT1608T-1P</t>
  </si>
  <si>
    <t>DOS13001</t>
  </si>
  <si>
    <t>103KTE1608T-1P</t>
  </si>
  <si>
    <t>DOA01008</t>
  </si>
  <si>
    <t>103KT1005T-1P</t>
  </si>
  <si>
    <t>DOA01024</t>
  </si>
  <si>
    <t>103KT2125T-1P</t>
  </si>
  <si>
    <t>DOA01003</t>
  </si>
  <si>
    <t>503KT2125T-1P</t>
  </si>
  <si>
    <t>DOA06009</t>
  </si>
  <si>
    <t>682KT1608T-5P</t>
  </si>
  <si>
    <t>BF980002A</t>
  </si>
  <si>
    <t>BE980001A</t>
  </si>
  <si>
    <t>Total</t>
  </si>
  <si>
    <t>Materials that are no actual issuance will be requested on the following day using another RIS slip.</t>
  </si>
  <si>
    <t>F-WH01-6/09/240607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</si>
</sst>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6"/>
      <color theme="1"/>
      <name val="Arial Narrow"/>
      <family val="2"/>
    </font>
    <font>
      <sz val="8"/>
      <color theme="1"/>
      <name val="Arial Narrow"/>
      <family val="2"/>
    </font>
    <font>
      <sz val="10"/>
      <color theme="1"/>
      <name val="Calibri"/>
      <family val="2"/>
    </font>
    <font>
      <i/>
      <sz val="10"/>
      <color theme="1"/>
      <name val="Arial Narrow"/>
      <family val="2"/>
    </font>
    <font>
      <b/>
      <sz val="15"/>
      <color theme="1"/>
      <name val="Arial Narrow"/>
      <family val="2"/>
    </font>
    <font>
      <b/>
      <i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gray0625"/>
    </fill>
    <fill>
      <patternFill patternType="gray0625">
        <bgColor rgb="FFFFFFCC"/>
      </patternFill>
    </fill>
    <fill>
      <patternFill patternType="solid">
        <fgColor rgb="FFFFFFCC"/>
        <bgColor indexed="64"/>
      </patternFill>
    </fill>
  </fills>
  <borders count="66">
    <border>
      <left/>
      <right/>
      <top/>
      <bottom/>
      <diagonal/>
    </border>
    <border>
      <left style="double">
        <color auto="1"/>
      </left>
      <right style="thin">
        <color theme="0" tint="-0.24994659260841701"/>
      </right>
      <top style="double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double">
        <color auto="1"/>
      </top>
      <bottom style="thin">
        <color theme="0" tint="-0.24994659260841701"/>
      </bottom>
      <diagonal/>
    </border>
    <border>
      <left style="double">
        <color auto="1"/>
      </left>
      <right style="thin">
        <color theme="2" tint="-0.24994659260841701"/>
      </right>
      <top style="double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double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double">
        <color auto="1"/>
      </right>
      <top style="double">
        <color auto="1"/>
      </top>
      <bottom style="thin">
        <color theme="2" tint="-0.24994659260841701"/>
      </bottom>
      <diagonal/>
    </border>
    <border>
      <left style="double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auto="1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double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double">
        <color auto="1"/>
      </left>
      <right/>
      <top style="thin">
        <color theme="0" tint="-0.24994659260841701"/>
      </top>
      <bottom style="hair">
        <color auto="1"/>
      </bottom>
      <diagonal/>
    </border>
    <border>
      <left/>
      <right/>
      <top style="thin">
        <color theme="0" tint="-0.24994659260841701"/>
      </top>
      <bottom style="hair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hair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double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double">
        <color auto="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theme="2" tint="-0.24994659260841701"/>
      </right>
      <top style="thin">
        <color theme="2" tint="-0.24994659260841701"/>
      </top>
      <bottom style="double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double">
        <color auto="1"/>
      </bottom>
      <diagonal/>
    </border>
    <border>
      <left style="thin">
        <color theme="2" tint="-0.24994659260841701"/>
      </left>
      <right style="double">
        <color auto="1"/>
      </right>
      <top style="thin">
        <color theme="2" tint="-0.24994659260841701"/>
      </top>
      <bottom style="double">
        <color auto="1"/>
      </bottom>
      <diagonal/>
    </border>
    <border>
      <left style="thin">
        <color theme="0" tint="-0.24994659260841701"/>
      </left>
      <right style="double">
        <color auto="1"/>
      </right>
      <top style="double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double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auto="1"/>
      </left>
      <right style="thin">
        <color theme="0" tint="-0.24994659260841701"/>
      </right>
      <top style="thin">
        <color theme="0" tint="-0.24994659260841701"/>
      </top>
      <bottom style="double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double">
        <color auto="1"/>
      </bottom>
      <diagonal/>
    </border>
    <border>
      <left/>
      <right/>
      <top style="thin">
        <color theme="0" tint="-0.24994659260841701"/>
      </top>
      <bottom style="double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double">
        <color auto="1"/>
      </bottom>
      <diagonal/>
    </border>
    <border>
      <left/>
      <right style="double">
        <color auto="1"/>
      </right>
      <top style="thin">
        <color theme="0" tint="-0.24994659260841701"/>
      </top>
      <bottom style="double">
        <color auto="1"/>
      </bottom>
      <diagonal/>
    </border>
    <border>
      <left style="double">
        <color auto="1"/>
      </left>
      <right/>
      <top style="thin">
        <color theme="0" tint="-0.2499465926084170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theme="0" tint="-0.24994659260841701"/>
      </right>
      <top style="double">
        <color auto="1"/>
      </top>
      <bottom style="double">
        <color auto="1"/>
      </bottom>
      <diagonal/>
    </border>
    <border>
      <left style="thin">
        <color theme="0" tint="-0.2499465926084170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double">
        <color auto="1"/>
      </right>
      <top style="thin">
        <color theme="0" tint="-0.24994659260841701"/>
      </top>
      <bottom style="hair">
        <color auto="1"/>
      </bottom>
      <diagonal/>
    </border>
    <border>
      <left style="thin">
        <color theme="0" tint="-0.24994659260841701"/>
      </left>
      <right style="double">
        <color auto="1"/>
      </right>
      <top style="thin">
        <color theme="0" tint="-0.2499465926084170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auto="1"/>
      </bottom>
      <diagonal/>
    </border>
    <border>
      <left style="thin">
        <color theme="0" tint="-0.24994659260841701"/>
      </left>
      <right style="double">
        <color auto="1"/>
      </right>
      <top style="thin">
        <color theme="0" tint="-0.24994659260841701"/>
      </top>
      <bottom style="double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2" fillId="2" borderId="25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left"/>
    </xf>
    <xf numFmtId="14" fontId="2" fillId="2" borderId="25" xfId="0" applyNumberFormat="1" applyFont="1" applyFill="1" applyBorder="1" applyAlignment="1">
      <alignment horizontal="center"/>
    </xf>
    <xf numFmtId="0" fontId="2" fillId="2" borderId="0" xfId="0" applyFont="1" applyFill="1" applyAlignment="1">
      <alignment vertical="center"/>
    </xf>
    <xf numFmtId="0" fontId="7" fillId="2" borderId="26" xfId="0" applyFont="1" applyFill="1" applyBorder="1" applyAlignment="1">
      <alignment vertical="center"/>
    </xf>
    <xf numFmtId="0" fontId="2" fillId="2" borderId="32" xfId="0" applyFont="1" applyFill="1" applyBorder="1"/>
    <xf numFmtId="14" fontId="2" fillId="2" borderId="32" xfId="0" applyNumberFormat="1" applyFont="1" applyFill="1" applyBorder="1"/>
    <xf numFmtId="0" fontId="2" fillId="0" borderId="7" xfId="0" applyFont="1" applyBorder="1"/>
    <xf numFmtId="0" fontId="2" fillId="0" borderId="38" xfId="0" applyFont="1" applyBorder="1"/>
    <xf numFmtId="0" fontId="2" fillId="3" borderId="38" xfId="0" applyFont="1" applyFill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38" xfId="1" applyNumberFormat="1" applyFont="1" applyBorder="1"/>
    <xf numFmtId="164" fontId="2" fillId="0" borderId="38" xfId="0" applyNumberFormat="1" applyFont="1" applyBorder="1"/>
    <xf numFmtId="3" fontId="2" fillId="4" borderId="40" xfId="0" applyNumberFormat="1" applyFont="1" applyFill="1" applyBorder="1" applyAlignment="1">
      <alignment horizontal="center" vertical="center"/>
    </xf>
    <xf numFmtId="3" fontId="2" fillId="5" borderId="40" xfId="0" applyNumberFormat="1" applyFont="1" applyFill="1" applyBorder="1" applyAlignment="1">
      <alignment horizontal="center" vertical="center"/>
    </xf>
    <xf numFmtId="3" fontId="10" fillId="5" borderId="40" xfId="0" applyNumberFormat="1" applyFont="1" applyFill="1" applyBorder="1" applyAlignment="1">
      <alignment horizontal="center" vertical="center"/>
    </xf>
    <xf numFmtId="3" fontId="2" fillId="0" borderId="40" xfId="0" applyNumberFormat="1" applyFont="1" applyBorder="1" applyAlignment="1">
      <alignment horizontal="center" vertical="center"/>
    </xf>
    <xf numFmtId="3" fontId="10" fillId="6" borderId="40" xfId="0" applyNumberFormat="1" applyFont="1" applyFill="1" applyBorder="1" applyAlignment="1">
      <alignment horizontal="center" vertical="center"/>
    </xf>
    <xf numFmtId="3" fontId="2" fillId="6" borderId="40" xfId="0" applyNumberFormat="1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3" fontId="2" fillId="0" borderId="51" xfId="0" applyNumberFormat="1" applyFont="1" applyBorder="1" applyAlignment="1">
      <alignment horizontal="center" vertical="center"/>
    </xf>
    <xf numFmtId="3" fontId="2" fillId="6" borderId="51" xfId="0" applyNumberFormat="1" applyFont="1" applyFill="1" applyBorder="1" applyAlignment="1">
      <alignment horizontal="center" vertical="center"/>
    </xf>
    <xf numFmtId="164" fontId="2" fillId="0" borderId="0" xfId="1" applyNumberFormat="1" applyFont="1" applyBorder="1"/>
    <xf numFmtId="164" fontId="2" fillId="0" borderId="0" xfId="0" applyNumberFormat="1" applyFont="1"/>
    <xf numFmtId="0" fontId="2" fillId="0" borderId="57" xfId="0" applyFont="1" applyBorder="1"/>
    <xf numFmtId="0" fontId="11" fillId="0" borderId="0" xfId="0" applyFont="1" applyAlignment="1">
      <alignment horizontal="right" vertical="center"/>
    </xf>
    <xf numFmtId="0" fontId="2" fillId="0" borderId="58" xfId="0" applyFont="1" applyBorder="1"/>
    <xf numFmtId="0" fontId="11" fillId="0" borderId="58" xfId="0" applyFont="1" applyBorder="1" applyAlignment="1">
      <alignment horizontal="right" vertical="center"/>
    </xf>
    <xf numFmtId="0" fontId="2" fillId="0" borderId="32" xfId="0" applyFont="1" applyBorder="1"/>
    <xf numFmtId="14" fontId="2" fillId="2" borderId="61" xfId="0" applyNumberFormat="1" applyFont="1" applyFill="1" applyBorder="1" applyAlignment="1">
      <alignment horizontal="center"/>
    </xf>
    <xf numFmtId="0" fontId="2" fillId="2" borderId="62" xfId="0" applyFont="1" applyFill="1" applyBorder="1" applyAlignment="1">
      <alignment vertical="center"/>
    </xf>
    <xf numFmtId="14" fontId="2" fillId="2" borderId="63" xfId="0" applyNumberFormat="1" applyFont="1" applyFill="1" applyBorder="1"/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0" fontId="2" fillId="0" borderId="56" xfId="0" applyFont="1" applyBorder="1" applyAlignment="1">
      <alignment horizontal="left" vertical="center"/>
    </xf>
    <xf numFmtId="0" fontId="11" fillId="0" borderId="0" xfId="0" applyFont="1" applyAlignment="1">
      <alignment horizontal="righ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41" xfId="0" applyNumberFormat="1" applyFont="1" applyBorder="1" applyAlignment="1">
      <alignment horizontal="center" vertical="center"/>
    </xf>
    <xf numFmtId="49" fontId="2" fillId="0" borderId="44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41" xfId="0" applyNumberFormat="1" applyFont="1" applyBorder="1" applyAlignment="1">
      <alignment horizontal="left" vertical="center"/>
    </xf>
    <xf numFmtId="49" fontId="2" fillId="0" borderId="44" xfId="0" applyNumberFormat="1" applyFont="1" applyBorder="1" applyAlignment="1">
      <alignment horizontal="left" vertical="center"/>
    </xf>
    <xf numFmtId="49" fontId="2" fillId="0" borderId="64" xfId="0" applyNumberFormat="1" applyFont="1" applyBorder="1" applyAlignment="1">
      <alignment horizontal="center" vertical="center"/>
    </xf>
    <xf numFmtId="49" fontId="2" fillId="0" borderId="6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3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3" fontId="2" fillId="0" borderId="43" xfId="0" applyNumberFormat="1" applyFont="1" applyBorder="1" applyAlignment="1">
      <alignment horizontal="center" vertical="center"/>
    </xf>
    <xf numFmtId="3" fontId="2" fillId="0" borderId="41" xfId="0" applyNumberFormat="1" applyFont="1" applyBorder="1" applyAlignment="1">
      <alignment horizontal="center" vertical="center"/>
    </xf>
    <xf numFmtId="3" fontId="2" fillId="0" borderId="44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37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left" vertical="center"/>
    </xf>
    <xf numFmtId="3" fontId="2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4" fontId="2" fillId="0" borderId="8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37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22" xfId="0" applyNumberFormat="1" applyFont="1" applyBorder="1" applyAlignment="1" applyProtection="1">
      <alignment horizontal="center"/>
      <protection locked="0"/>
    </xf>
    <xf numFmtId="14" fontId="2" fillId="0" borderId="60" xfId="0" applyNumberFormat="1" applyFont="1" applyBorder="1" applyAlignment="1" applyProtection="1">
      <alignment horizontal="center"/>
      <protection locked="0"/>
    </xf>
    <xf numFmtId="0" fontId="4" fillId="0" borderId="1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3" xfId="0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49" fontId="2" fillId="0" borderId="46" xfId="0" applyNumberFormat="1" applyFont="1" applyBorder="1" applyAlignment="1">
      <alignment horizontal="center" vertical="center"/>
    </xf>
    <xf numFmtId="49" fontId="2" fillId="0" borderId="47" xfId="0" applyNumberFormat="1" applyFont="1" applyBorder="1" applyAlignment="1">
      <alignment horizontal="center" vertical="center"/>
    </xf>
    <xf numFmtId="49" fontId="2" fillId="0" borderId="48" xfId="0" applyNumberFormat="1" applyFont="1" applyBorder="1" applyAlignment="1">
      <alignment horizontal="center" vertical="center"/>
    </xf>
    <xf numFmtId="49" fontId="2" fillId="0" borderId="46" xfId="0" applyNumberFormat="1" applyFont="1" applyBorder="1" applyAlignment="1">
      <alignment horizontal="left" vertical="center"/>
    </xf>
    <xf numFmtId="49" fontId="2" fillId="0" borderId="47" xfId="0" applyNumberFormat="1" applyFont="1" applyBorder="1" applyAlignment="1">
      <alignment horizontal="left" vertical="center"/>
    </xf>
    <xf numFmtId="49" fontId="2" fillId="0" borderId="48" xfId="0" applyNumberFormat="1" applyFont="1" applyBorder="1" applyAlignment="1">
      <alignment horizontal="left" vertical="center"/>
    </xf>
    <xf numFmtId="49" fontId="2" fillId="0" borderId="49" xfId="0" applyNumberFormat="1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20" xfId="0" applyNumberFormat="1" applyFont="1" applyBorder="1" applyAlignment="1">
      <alignment horizontal="center"/>
    </xf>
    <xf numFmtId="49" fontId="4" fillId="0" borderId="27" xfId="0" applyNumberFormat="1" applyFont="1" applyBorder="1" applyAlignment="1">
      <alignment horizontal="center"/>
    </xf>
    <xf numFmtId="49" fontId="4" fillId="0" borderId="28" xfId="0" applyNumberFormat="1" applyFont="1" applyBorder="1" applyAlignment="1">
      <alignment horizontal="center"/>
    </xf>
    <xf numFmtId="49" fontId="4" fillId="0" borderId="29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6" fillId="0" borderId="18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 applyProtection="1">
      <alignment horizontal="center"/>
      <protection locked="0"/>
    </xf>
    <xf numFmtId="49" fontId="2" fillId="0" borderId="23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</cellXfs>
  <cellStyles count="2">
    <cellStyle name="Comma 2" xfId="1" xr:uid="{97FF5BE0-CEAC-4A7A-B6D5-EEE8A37F251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7" Type="http://schemas.openxmlformats.org/officeDocument/2006/relationships/image" Target="../media/image3.jpe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image" Target="https://quickchart.io/chart?c=150x150&amp;cht=qr&amp;chl=503FT-ZM-23Y008%0aDFA23006AA%0aF240526-01%0a12000" TargetMode="External"/><Relationship Id="rId5" Type="http://schemas.openxmlformats.org/officeDocument/2006/relationships/image" Target="../media/image2.png"/><Relationship Id="rId4" Type="http://schemas.openxmlformats.org/officeDocument/2006/relationships/image" Target="NUL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7" Type="http://schemas.openxmlformats.org/officeDocument/2006/relationships/image" Target="../media/image3.jpeg"/><Relationship Id="rId2" Type="http://schemas.openxmlformats.org/officeDocument/2006/relationships/customXml" Target="../ink/ink2.xml"/><Relationship Id="rId1" Type="http://schemas.openxmlformats.org/officeDocument/2006/relationships/image" Target="../media/image1.png"/><Relationship Id="rId6" Type="http://schemas.openxmlformats.org/officeDocument/2006/relationships/image" Target="https://quickchart.io/chart?c=150x150&amp;cht=qr&amp;chl=503FT-ZM-23Y008%0aDFA23006AA%0aF240526-01%0a12000" TargetMode="External"/><Relationship Id="rId5" Type="http://schemas.openxmlformats.org/officeDocument/2006/relationships/image" Target="../media/image2.png"/><Relationship Id="rId4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7" Type="http://schemas.openxmlformats.org/officeDocument/2006/relationships/image" Target="../media/image3.jpeg"/><Relationship Id="rId2" Type="http://schemas.openxmlformats.org/officeDocument/2006/relationships/customXml" Target="../ink/ink3.xml"/><Relationship Id="rId1" Type="http://schemas.openxmlformats.org/officeDocument/2006/relationships/image" Target="../media/image1.png"/><Relationship Id="rId6" Type="http://schemas.openxmlformats.org/officeDocument/2006/relationships/image" Target="https://quickchart.io/chart?c=150x150&amp;cht=qr&amp;chl=503FT-ZM-23Y008%0aDFA23006AA%0aF240526-01%0a12000" TargetMode="External"/><Relationship Id="rId5" Type="http://schemas.openxmlformats.org/officeDocument/2006/relationships/image" Target="../media/image2.png"/><Relationship Id="rId4" Type="http://schemas.openxmlformats.org/officeDocument/2006/relationships/image" Target="NUL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7" Type="http://schemas.openxmlformats.org/officeDocument/2006/relationships/image" Target="../media/image3.jpeg"/><Relationship Id="rId2" Type="http://schemas.openxmlformats.org/officeDocument/2006/relationships/customXml" Target="../ink/ink4.xml"/><Relationship Id="rId1" Type="http://schemas.openxmlformats.org/officeDocument/2006/relationships/image" Target="../media/image1.png"/><Relationship Id="rId6" Type="http://schemas.openxmlformats.org/officeDocument/2006/relationships/image" Target="https://quickchart.io/chart?c=150x150&amp;cht=qr&amp;chl=503FT-ZM-23Y008%0aDFA23006AA%0aF240526-01%0a12000" TargetMode="External"/><Relationship Id="rId5" Type="http://schemas.openxmlformats.org/officeDocument/2006/relationships/image" Target="../media/image2.png"/><Relationship Id="rId4" Type="http://schemas.openxmlformats.org/officeDocument/2006/relationships/image" Target="NUL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7" Type="http://schemas.openxmlformats.org/officeDocument/2006/relationships/image" Target="../media/image3.jpeg"/><Relationship Id="rId2" Type="http://schemas.openxmlformats.org/officeDocument/2006/relationships/customXml" Target="../ink/ink5.xml"/><Relationship Id="rId1" Type="http://schemas.openxmlformats.org/officeDocument/2006/relationships/image" Target="../media/image1.png"/><Relationship Id="rId6" Type="http://schemas.openxmlformats.org/officeDocument/2006/relationships/image" Target="https://quickchart.io/chart?c=150x150&amp;cht=qr&amp;chl=503FT-ZM-23Y008%0aDFA23006AA%0aF240526-01%0a12000" TargetMode="External"/><Relationship Id="rId5" Type="http://schemas.openxmlformats.org/officeDocument/2006/relationships/image" Target="../media/image2.png"/><Relationship Id="rId4" Type="http://schemas.openxmlformats.org/officeDocument/2006/relationships/image" Target="NUL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7" Type="http://schemas.openxmlformats.org/officeDocument/2006/relationships/image" Target="../media/image3.jpeg"/><Relationship Id="rId2" Type="http://schemas.openxmlformats.org/officeDocument/2006/relationships/customXml" Target="../ink/ink6.xml"/><Relationship Id="rId1" Type="http://schemas.openxmlformats.org/officeDocument/2006/relationships/image" Target="../media/image1.png"/><Relationship Id="rId6" Type="http://schemas.openxmlformats.org/officeDocument/2006/relationships/image" Target="https://quickchart.io/chart?c=150x150&amp;cht=qr&amp;chl=503FT-ZM-23Y008%0aDFA23006AA%0aF240526-01%0a12000" TargetMode="External"/><Relationship Id="rId5" Type="http://schemas.openxmlformats.org/officeDocument/2006/relationships/image" Target="../media/image2.png"/><Relationship Id="rId4" Type="http://schemas.openxmlformats.org/officeDocument/2006/relationships/image" Target="NUL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55475</xdr:colOff>
      <xdr:row>1</xdr:row>
      <xdr:rowOff>27927</xdr:rowOff>
    </xdr:from>
    <xdr:to>
      <xdr:col>5</xdr:col>
      <xdr:colOff>129917</xdr:colOff>
      <xdr:row>2</xdr:row>
      <xdr:rowOff>134764</xdr:rowOff>
    </xdr:to>
    <xdr:pic>
      <xdr:nvPicPr>
        <xdr:cNvPr id="2" name="Picture 1" descr="SEMITEC Corporation">
          <a:extLst>
            <a:ext uri="{FF2B5EF4-FFF2-40B4-BE49-F238E27FC236}">
              <a16:creationId xmlns:a16="http://schemas.microsoft.com/office/drawing/2014/main" id="{CCB4EE42-ECC5-4B34-95A3-BB571920B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75" y="27927"/>
          <a:ext cx="912642" cy="271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116158</xdr:colOff>
      <xdr:row>35</xdr:row>
      <xdr:rowOff>663</xdr:rowOff>
    </xdr:from>
    <xdr:to>
      <xdr:col>55</xdr:col>
      <xdr:colOff>16592</xdr:colOff>
      <xdr:row>35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11">
              <a:extLst>
                <a:ext uri="{FF2B5EF4-FFF2-40B4-BE49-F238E27FC236}">
                  <a16:creationId xmlns:a16="http://schemas.microsoft.com/office/drawing/2014/main" id="{EAAB0918-C036-4CAC-AE24-21EE9A1FDBCB}"/>
                </a:ext>
              </a:extLst>
            </xdr14:cNvPr>
            <xdr14:cNvContentPartPr/>
          </xdr14:nvContentPartPr>
          <xdr14:nvPr macro=""/>
          <xdr14:xfrm>
            <a:off x="9731520" y="5838840"/>
            <a:ext cx="360" cy="3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742C67DD-9C81-4C61-88A0-C04F761DB7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727200" y="58345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57168</xdr:colOff>
      <xdr:row>36</xdr:row>
      <xdr:rowOff>44860</xdr:rowOff>
    </xdr:from>
    <xdr:to>
      <xdr:col>5</xdr:col>
      <xdr:colOff>131610</xdr:colOff>
      <xdr:row>37</xdr:row>
      <xdr:rowOff>136457</xdr:rowOff>
    </xdr:to>
    <xdr:pic>
      <xdr:nvPicPr>
        <xdr:cNvPr id="4" name="Picture 3" descr="SEMITEC Corporation">
          <a:extLst>
            <a:ext uri="{FF2B5EF4-FFF2-40B4-BE49-F238E27FC236}">
              <a16:creationId xmlns:a16="http://schemas.microsoft.com/office/drawing/2014/main" id="{B8E4302A-10BC-4AA2-80E5-4465851E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68" y="5696360"/>
          <a:ext cx="912642" cy="256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57</xdr:col>
      <xdr:colOff>59055</xdr:colOff>
      <xdr:row>2</xdr:row>
      <xdr:rowOff>120015</xdr:rowOff>
    </xdr:from>
    <xdr:to>
      <xdr:col>59</xdr:col>
      <xdr:colOff>106680</xdr:colOff>
      <xdr:row>5</xdr:row>
      <xdr:rowOff>53340</xdr:rowOff>
    </xdr:to>
    <xdr:pic>
      <xdr:nvPicPr>
        <xdr:cNvPr id="6" name="barcode2">
          <a:extLst>
            <a:ext uri="{FF2B5EF4-FFF2-40B4-BE49-F238E27FC236}">
              <a16:creationId xmlns:a16="http://schemas.microsoft.com/office/drawing/2014/main" id="{668380C3-8521-41B6-9B36-C65879BB3F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285115"/>
          <a:ext cx="0" cy="454025"/>
        </a:xfrm>
        <a:prstGeom prst="rect">
          <a:avLst/>
        </a:prstGeom>
      </xdr:spPr>
    </xdr:pic>
    <xdr:clientData/>
  </xdr:twoCellAnchor>
  <xdr:twoCellAnchor editAs="oneCell">
    <xdr:from>
      <xdr:col>20</xdr:col>
      <xdr:colOff>55146</xdr:colOff>
      <xdr:row>0</xdr:row>
      <xdr:rowOff>3200</xdr:rowOff>
    </xdr:from>
    <xdr:to>
      <xdr:col>21</xdr:col>
      <xdr:colOff>195514</xdr:colOff>
      <xdr:row>3</xdr:row>
      <xdr:rowOff>317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F60D70-3AE5-428B-B9EC-F93C80E3E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6596" y="0"/>
          <a:ext cx="349918" cy="330517"/>
        </a:xfrm>
        <a:prstGeom prst="rect">
          <a:avLst/>
        </a:prstGeom>
      </xdr:spPr>
    </xdr:pic>
    <xdr:clientData/>
  </xdr:twoCellAnchor>
  <xdr:twoCellAnchor editAs="oneCell">
    <xdr:from>
      <xdr:col>20</xdr:col>
      <xdr:colOff>70184</xdr:colOff>
      <xdr:row>36</xdr:row>
      <xdr:rowOff>15040</xdr:rowOff>
    </xdr:from>
    <xdr:to>
      <xdr:col>22</xdr:col>
      <xdr:colOff>10025</xdr:colOff>
      <xdr:row>38</xdr:row>
      <xdr:rowOff>15357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88E7C05-602B-4ED5-93D2-12B688E8D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634" y="5666540"/>
          <a:ext cx="358941" cy="3305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55475</xdr:colOff>
      <xdr:row>1</xdr:row>
      <xdr:rowOff>27927</xdr:rowOff>
    </xdr:from>
    <xdr:to>
      <xdr:col>5</xdr:col>
      <xdr:colOff>126742</xdr:colOff>
      <xdr:row>2</xdr:row>
      <xdr:rowOff>134764</xdr:rowOff>
    </xdr:to>
    <xdr:pic>
      <xdr:nvPicPr>
        <xdr:cNvPr id="2" name="Picture 1" descr="SEMITEC Corporation">
          <a:extLst>
            <a:ext uri="{FF2B5EF4-FFF2-40B4-BE49-F238E27FC236}">
              <a16:creationId xmlns:a16="http://schemas.microsoft.com/office/drawing/2014/main" id="{D8F9404E-2E10-492E-9970-124DF3B94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75" y="31102"/>
          <a:ext cx="909467" cy="26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116158</xdr:colOff>
      <xdr:row>35</xdr:row>
      <xdr:rowOff>663</xdr:rowOff>
    </xdr:from>
    <xdr:to>
      <xdr:col>55</xdr:col>
      <xdr:colOff>16592</xdr:colOff>
      <xdr:row>35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11">
              <a:extLst>
                <a:ext uri="{FF2B5EF4-FFF2-40B4-BE49-F238E27FC236}">
                  <a16:creationId xmlns:a16="http://schemas.microsoft.com/office/drawing/2014/main" id="{52BC755C-FAF9-489C-ACBE-FCF667E51CC1}"/>
                </a:ext>
              </a:extLst>
            </xdr14:cNvPr>
            <xdr14:cNvContentPartPr/>
          </xdr14:nvContentPartPr>
          <xdr14:nvPr macro=""/>
          <xdr14:xfrm>
            <a:off x="9731520" y="5838840"/>
            <a:ext cx="360" cy="3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742C67DD-9C81-4C61-88A0-C04F761DB7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727200" y="58345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57168</xdr:colOff>
      <xdr:row>36</xdr:row>
      <xdr:rowOff>44860</xdr:rowOff>
    </xdr:from>
    <xdr:to>
      <xdr:col>5</xdr:col>
      <xdr:colOff>131610</xdr:colOff>
      <xdr:row>37</xdr:row>
      <xdr:rowOff>136457</xdr:rowOff>
    </xdr:to>
    <xdr:pic>
      <xdr:nvPicPr>
        <xdr:cNvPr id="4" name="Picture 3" descr="SEMITEC Corporation">
          <a:extLst>
            <a:ext uri="{FF2B5EF4-FFF2-40B4-BE49-F238E27FC236}">
              <a16:creationId xmlns:a16="http://schemas.microsoft.com/office/drawing/2014/main" id="{EEAEB47D-2708-485D-9810-B4752DBBC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68" y="5648735"/>
          <a:ext cx="912642" cy="250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57</xdr:col>
      <xdr:colOff>59055</xdr:colOff>
      <xdr:row>2</xdr:row>
      <xdr:rowOff>120015</xdr:rowOff>
    </xdr:from>
    <xdr:to>
      <xdr:col>59</xdr:col>
      <xdr:colOff>106680</xdr:colOff>
      <xdr:row>5</xdr:row>
      <xdr:rowOff>53340</xdr:rowOff>
    </xdr:to>
    <xdr:pic>
      <xdr:nvPicPr>
        <xdr:cNvPr id="6" name="barcode2">
          <a:extLst>
            <a:ext uri="{FF2B5EF4-FFF2-40B4-BE49-F238E27FC236}">
              <a16:creationId xmlns:a16="http://schemas.microsoft.com/office/drawing/2014/main" id="{78B73951-38E9-492D-B033-8166A58A5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285115"/>
          <a:ext cx="0" cy="450850"/>
        </a:xfrm>
        <a:prstGeom prst="rect">
          <a:avLst/>
        </a:prstGeom>
      </xdr:spPr>
    </xdr:pic>
    <xdr:clientData/>
  </xdr:twoCellAnchor>
  <xdr:twoCellAnchor editAs="oneCell">
    <xdr:from>
      <xdr:col>20</xdr:col>
      <xdr:colOff>55146</xdr:colOff>
      <xdr:row>0</xdr:row>
      <xdr:rowOff>3200</xdr:rowOff>
    </xdr:from>
    <xdr:to>
      <xdr:col>21</xdr:col>
      <xdr:colOff>198689</xdr:colOff>
      <xdr:row>3</xdr:row>
      <xdr:rowOff>317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E7256F4-8504-4CAD-8F50-08CED4C67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6596" y="0"/>
          <a:ext cx="353093" cy="324167"/>
        </a:xfrm>
        <a:prstGeom prst="rect">
          <a:avLst/>
        </a:prstGeom>
      </xdr:spPr>
    </xdr:pic>
    <xdr:clientData/>
  </xdr:twoCellAnchor>
  <xdr:twoCellAnchor editAs="oneCell">
    <xdr:from>
      <xdr:col>20</xdr:col>
      <xdr:colOff>70184</xdr:colOff>
      <xdr:row>36</xdr:row>
      <xdr:rowOff>15040</xdr:rowOff>
    </xdr:from>
    <xdr:to>
      <xdr:col>22</xdr:col>
      <xdr:colOff>6850</xdr:colOff>
      <xdr:row>38</xdr:row>
      <xdr:rowOff>12182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53D4136-ED7A-432E-A65F-2CCB35A21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459" y="5612565"/>
          <a:ext cx="358941" cy="3241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55475</xdr:colOff>
      <xdr:row>1</xdr:row>
      <xdr:rowOff>27927</xdr:rowOff>
    </xdr:from>
    <xdr:to>
      <xdr:col>5</xdr:col>
      <xdr:colOff>123567</xdr:colOff>
      <xdr:row>2</xdr:row>
      <xdr:rowOff>134764</xdr:rowOff>
    </xdr:to>
    <xdr:pic>
      <xdr:nvPicPr>
        <xdr:cNvPr id="2" name="Picture 1" descr="SEMITEC Corporation">
          <a:extLst>
            <a:ext uri="{FF2B5EF4-FFF2-40B4-BE49-F238E27FC236}">
              <a16:creationId xmlns:a16="http://schemas.microsoft.com/office/drawing/2014/main" id="{D18CC2A6-B3AF-4ECC-B076-3675A1A9F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75" y="31102"/>
          <a:ext cx="906292" cy="26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116158</xdr:colOff>
      <xdr:row>35</xdr:row>
      <xdr:rowOff>663</xdr:rowOff>
    </xdr:from>
    <xdr:to>
      <xdr:col>55</xdr:col>
      <xdr:colOff>16592</xdr:colOff>
      <xdr:row>35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11">
              <a:extLst>
                <a:ext uri="{FF2B5EF4-FFF2-40B4-BE49-F238E27FC236}">
                  <a16:creationId xmlns:a16="http://schemas.microsoft.com/office/drawing/2014/main" id="{D66C5545-5E50-4704-B266-C79CB09F314A}"/>
                </a:ext>
              </a:extLst>
            </xdr14:cNvPr>
            <xdr14:cNvContentPartPr/>
          </xdr14:nvContentPartPr>
          <xdr14:nvPr macro=""/>
          <xdr14:xfrm>
            <a:off x="9731520" y="5838840"/>
            <a:ext cx="360" cy="3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742C67DD-9C81-4C61-88A0-C04F761DB7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727200" y="58345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57168</xdr:colOff>
      <xdr:row>36</xdr:row>
      <xdr:rowOff>44860</xdr:rowOff>
    </xdr:from>
    <xdr:to>
      <xdr:col>5</xdr:col>
      <xdr:colOff>131610</xdr:colOff>
      <xdr:row>37</xdr:row>
      <xdr:rowOff>136457</xdr:rowOff>
    </xdr:to>
    <xdr:pic>
      <xdr:nvPicPr>
        <xdr:cNvPr id="4" name="Picture 3" descr="SEMITEC Corporation">
          <a:extLst>
            <a:ext uri="{FF2B5EF4-FFF2-40B4-BE49-F238E27FC236}">
              <a16:creationId xmlns:a16="http://schemas.microsoft.com/office/drawing/2014/main" id="{261CB9F5-9969-4E72-865D-098B0A2A6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68" y="5648735"/>
          <a:ext cx="912642" cy="250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57</xdr:col>
      <xdr:colOff>59055</xdr:colOff>
      <xdr:row>2</xdr:row>
      <xdr:rowOff>120015</xdr:rowOff>
    </xdr:from>
    <xdr:to>
      <xdr:col>59</xdr:col>
      <xdr:colOff>106680</xdr:colOff>
      <xdr:row>5</xdr:row>
      <xdr:rowOff>53340</xdr:rowOff>
    </xdr:to>
    <xdr:pic>
      <xdr:nvPicPr>
        <xdr:cNvPr id="6" name="barcode2">
          <a:extLst>
            <a:ext uri="{FF2B5EF4-FFF2-40B4-BE49-F238E27FC236}">
              <a16:creationId xmlns:a16="http://schemas.microsoft.com/office/drawing/2014/main" id="{CA922290-1621-4CFD-9FF7-2E9D54FABA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285115"/>
          <a:ext cx="0" cy="450850"/>
        </a:xfrm>
        <a:prstGeom prst="rect">
          <a:avLst/>
        </a:prstGeom>
      </xdr:spPr>
    </xdr:pic>
    <xdr:clientData/>
  </xdr:twoCellAnchor>
  <xdr:twoCellAnchor editAs="oneCell">
    <xdr:from>
      <xdr:col>20</xdr:col>
      <xdr:colOff>55146</xdr:colOff>
      <xdr:row>0</xdr:row>
      <xdr:rowOff>3200</xdr:rowOff>
    </xdr:from>
    <xdr:to>
      <xdr:col>21</xdr:col>
      <xdr:colOff>201864</xdr:colOff>
      <xdr:row>3</xdr:row>
      <xdr:rowOff>317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C82EAD-28C0-4D39-B14C-22A818739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6596" y="0"/>
          <a:ext cx="356268" cy="324167"/>
        </a:xfrm>
        <a:prstGeom prst="rect">
          <a:avLst/>
        </a:prstGeom>
      </xdr:spPr>
    </xdr:pic>
    <xdr:clientData/>
  </xdr:twoCellAnchor>
  <xdr:twoCellAnchor editAs="oneCell">
    <xdr:from>
      <xdr:col>20</xdr:col>
      <xdr:colOff>70184</xdr:colOff>
      <xdr:row>36</xdr:row>
      <xdr:rowOff>15040</xdr:rowOff>
    </xdr:from>
    <xdr:to>
      <xdr:col>22</xdr:col>
      <xdr:colOff>10025</xdr:colOff>
      <xdr:row>38</xdr:row>
      <xdr:rowOff>9007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2722C2-AEF4-4A9C-BA57-D627D6615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459" y="5612565"/>
          <a:ext cx="362116" cy="3209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55475</xdr:colOff>
      <xdr:row>1</xdr:row>
      <xdr:rowOff>27927</xdr:rowOff>
    </xdr:from>
    <xdr:to>
      <xdr:col>5</xdr:col>
      <xdr:colOff>126742</xdr:colOff>
      <xdr:row>2</xdr:row>
      <xdr:rowOff>134764</xdr:rowOff>
    </xdr:to>
    <xdr:pic>
      <xdr:nvPicPr>
        <xdr:cNvPr id="2" name="Picture 1" descr="SEMITEC Corporation">
          <a:extLst>
            <a:ext uri="{FF2B5EF4-FFF2-40B4-BE49-F238E27FC236}">
              <a16:creationId xmlns:a16="http://schemas.microsoft.com/office/drawing/2014/main" id="{8F80475B-BFFF-4F0C-8599-6EE6823EA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75" y="31102"/>
          <a:ext cx="909467" cy="26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116158</xdr:colOff>
      <xdr:row>35</xdr:row>
      <xdr:rowOff>663</xdr:rowOff>
    </xdr:from>
    <xdr:to>
      <xdr:col>55</xdr:col>
      <xdr:colOff>16592</xdr:colOff>
      <xdr:row>35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11">
              <a:extLst>
                <a:ext uri="{FF2B5EF4-FFF2-40B4-BE49-F238E27FC236}">
                  <a16:creationId xmlns:a16="http://schemas.microsoft.com/office/drawing/2014/main" id="{834376C4-49F9-4134-9182-EFA9D3B69A9F}"/>
                </a:ext>
              </a:extLst>
            </xdr14:cNvPr>
            <xdr14:cNvContentPartPr/>
          </xdr14:nvContentPartPr>
          <xdr14:nvPr macro=""/>
          <xdr14:xfrm>
            <a:off x="9731520" y="5838840"/>
            <a:ext cx="360" cy="3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742C67DD-9C81-4C61-88A0-C04F761DB7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727200" y="58345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57168</xdr:colOff>
      <xdr:row>36</xdr:row>
      <xdr:rowOff>44860</xdr:rowOff>
    </xdr:from>
    <xdr:to>
      <xdr:col>5</xdr:col>
      <xdr:colOff>131610</xdr:colOff>
      <xdr:row>37</xdr:row>
      <xdr:rowOff>136457</xdr:rowOff>
    </xdr:to>
    <xdr:pic>
      <xdr:nvPicPr>
        <xdr:cNvPr id="4" name="Picture 3" descr="SEMITEC Corporation">
          <a:extLst>
            <a:ext uri="{FF2B5EF4-FFF2-40B4-BE49-F238E27FC236}">
              <a16:creationId xmlns:a16="http://schemas.microsoft.com/office/drawing/2014/main" id="{FE74318D-52CF-4843-894B-F09AA0AC2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68" y="5648735"/>
          <a:ext cx="912642" cy="250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57</xdr:col>
      <xdr:colOff>59055</xdr:colOff>
      <xdr:row>2</xdr:row>
      <xdr:rowOff>120015</xdr:rowOff>
    </xdr:from>
    <xdr:to>
      <xdr:col>59</xdr:col>
      <xdr:colOff>106680</xdr:colOff>
      <xdr:row>5</xdr:row>
      <xdr:rowOff>53340</xdr:rowOff>
    </xdr:to>
    <xdr:pic>
      <xdr:nvPicPr>
        <xdr:cNvPr id="6" name="barcode2">
          <a:extLst>
            <a:ext uri="{FF2B5EF4-FFF2-40B4-BE49-F238E27FC236}">
              <a16:creationId xmlns:a16="http://schemas.microsoft.com/office/drawing/2014/main" id="{196C0A2B-9F10-4E99-B265-3EEBB371B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285115"/>
          <a:ext cx="0" cy="450850"/>
        </a:xfrm>
        <a:prstGeom prst="rect">
          <a:avLst/>
        </a:prstGeom>
      </xdr:spPr>
    </xdr:pic>
    <xdr:clientData/>
  </xdr:twoCellAnchor>
  <xdr:twoCellAnchor editAs="oneCell">
    <xdr:from>
      <xdr:col>20</xdr:col>
      <xdr:colOff>55146</xdr:colOff>
      <xdr:row>0</xdr:row>
      <xdr:rowOff>3200</xdr:rowOff>
    </xdr:from>
    <xdr:to>
      <xdr:col>21</xdr:col>
      <xdr:colOff>198689</xdr:colOff>
      <xdr:row>3</xdr:row>
      <xdr:rowOff>317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D4116E-DDC1-4342-B6B1-49D750CA9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6596" y="0"/>
          <a:ext cx="353093" cy="324167"/>
        </a:xfrm>
        <a:prstGeom prst="rect">
          <a:avLst/>
        </a:prstGeom>
      </xdr:spPr>
    </xdr:pic>
    <xdr:clientData/>
  </xdr:twoCellAnchor>
  <xdr:twoCellAnchor editAs="oneCell">
    <xdr:from>
      <xdr:col>20</xdr:col>
      <xdr:colOff>70184</xdr:colOff>
      <xdr:row>36</xdr:row>
      <xdr:rowOff>15040</xdr:rowOff>
    </xdr:from>
    <xdr:to>
      <xdr:col>22</xdr:col>
      <xdr:colOff>6850</xdr:colOff>
      <xdr:row>38</xdr:row>
      <xdr:rowOff>12182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4AFF4B-E676-427E-9BB1-F042A817E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459" y="5612565"/>
          <a:ext cx="358941" cy="3241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55475</xdr:colOff>
      <xdr:row>1</xdr:row>
      <xdr:rowOff>27927</xdr:rowOff>
    </xdr:from>
    <xdr:to>
      <xdr:col>5</xdr:col>
      <xdr:colOff>123567</xdr:colOff>
      <xdr:row>2</xdr:row>
      <xdr:rowOff>134764</xdr:rowOff>
    </xdr:to>
    <xdr:pic>
      <xdr:nvPicPr>
        <xdr:cNvPr id="2" name="Picture 1" descr="SEMITEC Corporation">
          <a:extLst>
            <a:ext uri="{FF2B5EF4-FFF2-40B4-BE49-F238E27FC236}">
              <a16:creationId xmlns:a16="http://schemas.microsoft.com/office/drawing/2014/main" id="{D9F27A97-E20D-4346-928A-5D41E923C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75" y="31102"/>
          <a:ext cx="906292" cy="26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116158</xdr:colOff>
      <xdr:row>35</xdr:row>
      <xdr:rowOff>663</xdr:rowOff>
    </xdr:from>
    <xdr:to>
      <xdr:col>55</xdr:col>
      <xdr:colOff>16592</xdr:colOff>
      <xdr:row>35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11">
              <a:extLst>
                <a:ext uri="{FF2B5EF4-FFF2-40B4-BE49-F238E27FC236}">
                  <a16:creationId xmlns:a16="http://schemas.microsoft.com/office/drawing/2014/main" id="{9F3839CB-9FE6-48B7-A338-E2D1B8216CD9}"/>
                </a:ext>
              </a:extLst>
            </xdr14:cNvPr>
            <xdr14:cNvContentPartPr/>
          </xdr14:nvContentPartPr>
          <xdr14:nvPr macro=""/>
          <xdr14:xfrm>
            <a:off x="9731520" y="5838840"/>
            <a:ext cx="360" cy="3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742C67DD-9C81-4C61-88A0-C04F761DB7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727200" y="58345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57168</xdr:colOff>
      <xdr:row>36</xdr:row>
      <xdr:rowOff>44860</xdr:rowOff>
    </xdr:from>
    <xdr:to>
      <xdr:col>5</xdr:col>
      <xdr:colOff>131610</xdr:colOff>
      <xdr:row>37</xdr:row>
      <xdr:rowOff>136457</xdr:rowOff>
    </xdr:to>
    <xdr:pic>
      <xdr:nvPicPr>
        <xdr:cNvPr id="4" name="Picture 3" descr="SEMITEC Corporation">
          <a:extLst>
            <a:ext uri="{FF2B5EF4-FFF2-40B4-BE49-F238E27FC236}">
              <a16:creationId xmlns:a16="http://schemas.microsoft.com/office/drawing/2014/main" id="{7F98BEE4-1CAB-474A-8C98-830E4F842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68" y="5648735"/>
          <a:ext cx="912642" cy="250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57</xdr:col>
      <xdr:colOff>59055</xdr:colOff>
      <xdr:row>2</xdr:row>
      <xdr:rowOff>120015</xdr:rowOff>
    </xdr:from>
    <xdr:to>
      <xdr:col>59</xdr:col>
      <xdr:colOff>106680</xdr:colOff>
      <xdr:row>5</xdr:row>
      <xdr:rowOff>53340</xdr:rowOff>
    </xdr:to>
    <xdr:pic>
      <xdr:nvPicPr>
        <xdr:cNvPr id="6" name="barcode2">
          <a:extLst>
            <a:ext uri="{FF2B5EF4-FFF2-40B4-BE49-F238E27FC236}">
              <a16:creationId xmlns:a16="http://schemas.microsoft.com/office/drawing/2014/main" id="{5C63CAD5-30D1-485F-BF7E-2229A00D0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285115"/>
          <a:ext cx="0" cy="450850"/>
        </a:xfrm>
        <a:prstGeom prst="rect">
          <a:avLst/>
        </a:prstGeom>
      </xdr:spPr>
    </xdr:pic>
    <xdr:clientData/>
  </xdr:twoCellAnchor>
  <xdr:twoCellAnchor editAs="oneCell">
    <xdr:from>
      <xdr:col>20</xdr:col>
      <xdr:colOff>55146</xdr:colOff>
      <xdr:row>0</xdr:row>
      <xdr:rowOff>3200</xdr:rowOff>
    </xdr:from>
    <xdr:to>
      <xdr:col>21</xdr:col>
      <xdr:colOff>201864</xdr:colOff>
      <xdr:row>3</xdr:row>
      <xdr:rowOff>317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C108A08-E324-4DE3-B3C9-02AE8C047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6596" y="0"/>
          <a:ext cx="356268" cy="324167"/>
        </a:xfrm>
        <a:prstGeom prst="rect">
          <a:avLst/>
        </a:prstGeom>
      </xdr:spPr>
    </xdr:pic>
    <xdr:clientData/>
  </xdr:twoCellAnchor>
  <xdr:twoCellAnchor editAs="oneCell">
    <xdr:from>
      <xdr:col>20</xdr:col>
      <xdr:colOff>70184</xdr:colOff>
      <xdr:row>36</xdr:row>
      <xdr:rowOff>15040</xdr:rowOff>
    </xdr:from>
    <xdr:to>
      <xdr:col>22</xdr:col>
      <xdr:colOff>10025</xdr:colOff>
      <xdr:row>38</xdr:row>
      <xdr:rowOff>9007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0EDBA73-26CB-4B81-82BB-69F006F88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459" y="5612565"/>
          <a:ext cx="362116" cy="3209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55475</xdr:colOff>
      <xdr:row>1</xdr:row>
      <xdr:rowOff>27927</xdr:rowOff>
    </xdr:from>
    <xdr:to>
      <xdr:col>5</xdr:col>
      <xdr:colOff>126742</xdr:colOff>
      <xdr:row>2</xdr:row>
      <xdr:rowOff>134764</xdr:rowOff>
    </xdr:to>
    <xdr:pic>
      <xdr:nvPicPr>
        <xdr:cNvPr id="2" name="Picture 1" descr="SEMITEC Corporation">
          <a:extLst>
            <a:ext uri="{FF2B5EF4-FFF2-40B4-BE49-F238E27FC236}">
              <a16:creationId xmlns:a16="http://schemas.microsoft.com/office/drawing/2014/main" id="{5E7E7C01-84DA-4947-A27C-89F967437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75" y="31102"/>
          <a:ext cx="909467" cy="26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116158</xdr:colOff>
      <xdr:row>35</xdr:row>
      <xdr:rowOff>663</xdr:rowOff>
    </xdr:from>
    <xdr:to>
      <xdr:col>55</xdr:col>
      <xdr:colOff>16592</xdr:colOff>
      <xdr:row>35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11">
              <a:extLst>
                <a:ext uri="{FF2B5EF4-FFF2-40B4-BE49-F238E27FC236}">
                  <a16:creationId xmlns:a16="http://schemas.microsoft.com/office/drawing/2014/main" id="{D59C1B6B-B9BB-42DA-9AF0-E617C09370AA}"/>
                </a:ext>
              </a:extLst>
            </xdr14:cNvPr>
            <xdr14:cNvContentPartPr/>
          </xdr14:nvContentPartPr>
          <xdr14:nvPr macro=""/>
          <xdr14:xfrm>
            <a:off x="9731520" y="5838840"/>
            <a:ext cx="360" cy="3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742C67DD-9C81-4C61-88A0-C04F761DB7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727200" y="58345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57168</xdr:colOff>
      <xdr:row>36</xdr:row>
      <xdr:rowOff>44860</xdr:rowOff>
    </xdr:from>
    <xdr:to>
      <xdr:col>5</xdr:col>
      <xdr:colOff>131610</xdr:colOff>
      <xdr:row>37</xdr:row>
      <xdr:rowOff>136457</xdr:rowOff>
    </xdr:to>
    <xdr:pic>
      <xdr:nvPicPr>
        <xdr:cNvPr id="4" name="Picture 3" descr="SEMITEC Corporation">
          <a:extLst>
            <a:ext uri="{FF2B5EF4-FFF2-40B4-BE49-F238E27FC236}">
              <a16:creationId xmlns:a16="http://schemas.microsoft.com/office/drawing/2014/main" id="{81420B42-E744-4E0E-8D50-11B1F8E9A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68" y="5648735"/>
          <a:ext cx="912642" cy="250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171450</xdr:colOff>
      <xdr:row>5</xdr:row>
      <xdr:rowOff>38100</xdr:rowOff>
    </xdr:from>
    <xdr:to>
      <xdr:col>4</xdr:col>
      <xdr:colOff>12065</xdr:colOff>
      <xdr:row>7</xdr:row>
      <xdr:rowOff>207645</xdr:rowOff>
    </xdr:to>
    <xdr:pic>
      <xdr:nvPicPr>
        <xdr:cNvPr id="5" name="barcode1">
          <a:extLst>
            <a:ext uri="{FF2B5EF4-FFF2-40B4-BE49-F238E27FC236}">
              <a16:creationId xmlns:a16="http://schemas.microsoft.com/office/drawing/2014/main" id="{E0399ECE-6424-46CF-BB1C-63BDFA3E6D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723900"/>
          <a:ext cx="469265" cy="436245"/>
        </a:xfrm>
        <a:prstGeom prst="rect">
          <a:avLst/>
        </a:prstGeom>
      </xdr:spPr>
    </xdr:pic>
    <xdr:clientData/>
  </xdr:twoCellAnchor>
  <xdr:twoCellAnchor>
    <xdr:from>
      <xdr:col>57</xdr:col>
      <xdr:colOff>59055</xdr:colOff>
      <xdr:row>2</xdr:row>
      <xdr:rowOff>120015</xdr:rowOff>
    </xdr:from>
    <xdr:to>
      <xdr:col>59</xdr:col>
      <xdr:colOff>106680</xdr:colOff>
      <xdr:row>5</xdr:row>
      <xdr:rowOff>53340</xdr:rowOff>
    </xdr:to>
    <xdr:pic>
      <xdr:nvPicPr>
        <xdr:cNvPr id="6" name="barcode2">
          <a:extLst>
            <a:ext uri="{FF2B5EF4-FFF2-40B4-BE49-F238E27FC236}">
              <a16:creationId xmlns:a16="http://schemas.microsoft.com/office/drawing/2014/main" id="{4675E7DF-2EEC-4D9C-9684-75753D7D59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285115"/>
          <a:ext cx="0" cy="450850"/>
        </a:xfrm>
        <a:prstGeom prst="rect">
          <a:avLst/>
        </a:prstGeom>
      </xdr:spPr>
    </xdr:pic>
    <xdr:clientData/>
  </xdr:twoCellAnchor>
  <xdr:twoCellAnchor editAs="oneCell">
    <xdr:from>
      <xdr:col>20</xdr:col>
      <xdr:colOff>55146</xdr:colOff>
      <xdr:row>0</xdr:row>
      <xdr:rowOff>3200</xdr:rowOff>
    </xdr:from>
    <xdr:to>
      <xdr:col>21</xdr:col>
      <xdr:colOff>198689</xdr:colOff>
      <xdr:row>3</xdr:row>
      <xdr:rowOff>317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D2D8C4-B1FB-4D6D-912F-77ECD44EE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6596" y="0"/>
          <a:ext cx="353093" cy="324167"/>
        </a:xfrm>
        <a:prstGeom prst="rect">
          <a:avLst/>
        </a:prstGeom>
      </xdr:spPr>
    </xdr:pic>
    <xdr:clientData/>
  </xdr:twoCellAnchor>
  <xdr:twoCellAnchor editAs="oneCell">
    <xdr:from>
      <xdr:col>20</xdr:col>
      <xdr:colOff>70184</xdr:colOff>
      <xdr:row>36</xdr:row>
      <xdr:rowOff>15040</xdr:rowOff>
    </xdr:from>
    <xdr:to>
      <xdr:col>22</xdr:col>
      <xdr:colOff>6850</xdr:colOff>
      <xdr:row>38</xdr:row>
      <xdr:rowOff>12182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2289E30-A029-4757-857A-AF472AAF3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459" y="5612565"/>
          <a:ext cx="358941" cy="32416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4T05:33:03.2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-2147483648-2147483648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8T10:09:42.98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-2147483648-2147483648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8T10:09:47.22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-2147483648-2147483648 24575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8T10:09:53.07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-2147483648-2147483648 24575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8T10:09:57.17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-2147483648-2147483648 24575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8T10:21:22.78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-2147483648-2147483648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9874-45F3-4AB8-AE8F-589A475AAB39}">
  <sheetPr codeName="Sheet6">
    <pageSetUpPr fitToPage="1"/>
  </sheetPr>
  <dimension ref="A1:BZ64"/>
  <sheetViews>
    <sheetView view="pageBreakPreview" topLeftCell="B2" zoomScale="130" zoomScaleNormal="90" zoomScaleSheetLayoutView="130" workbookViewId="0">
      <selection activeCell="Z18" sqref="Z18:AC18"/>
    </sheetView>
  </sheetViews>
  <sheetFormatPr defaultColWidth="3" defaultRowHeight="13" x14ac:dyDescent="0.3"/>
  <cols>
    <col min="1" max="1" width="0.81640625" style="1" hidden="1" customWidth="1"/>
    <col min="2" max="14" width="3" style="1"/>
    <col min="15" max="22" width="3" style="1" customWidth="1"/>
    <col min="23" max="23" width="3.54296875" style="1" customWidth="1"/>
    <col min="24" max="24" width="3.81640625" style="1" customWidth="1"/>
    <col min="25" max="25" width="3.54296875" style="1" customWidth="1"/>
    <col min="26" max="33" width="3" style="1"/>
    <col min="34" max="34" width="3" style="1" customWidth="1"/>
    <col min="35" max="35" width="0.81640625" style="1" customWidth="1"/>
    <col min="36" max="36" width="1.453125" style="1" customWidth="1"/>
    <col min="37" max="37" width="1.54296875" style="1" customWidth="1"/>
    <col min="38" max="38" width="12" style="1" hidden="1" customWidth="1"/>
    <col min="39" max="39" width="13.54296875" style="1" hidden="1" customWidth="1"/>
    <col min="40" max="40" width="12.453125" style="1" hidden="1" customWidth="1"/>
    <col min="41" max="41" width="8.453125" style="1" hidden="1" customWidth="1"/>
    <col min="42" max="42" width="9.1796875" style="1" hidden="1" customWidth="1"/>
    <col min="43" max="43" width="2.54296875" style="1" hidden="1" customWidth="1"/>
    <col min="44" max="44" width="9.54296875" style="2" hidden="1" customWidth="1"/>
    <col min="45" max="45" width="12.54296875" style="2" hidden="1" customWidth="1"/>
    <col min="46" max="55" width="3" style="1" hidden="1" customWidth="1"/>
    <col min="56" max="57" width="3" style="1"/>
    <col min="58" max="60" width="3" style="1" hidden="1" customWidth="1"/>
    <col min="61" max="74" width="3" style="1"/>
    <col min="75" max="75" width="3" style="1" customWidth="1"/>
    <col min="76" max="77" width="3" style="1"/>
    <col min="78" max="78" width="0" style="1" hidden="1" customWidth="1"/>
    <col min="79" max="16384" width="3" style="1"/>
  </cols>
  <sheetData>
    <row r="1" spans="2:78" ht="4" hidden="1" customHeight="1" thickBot="1" x14ac:dyDescent="0.35"/>
    <row r="2" spans="2:78" ht="13" customHeight="1" thickTop="1" x14ac:dyDescent="0.3">
      <c r="B2" s="120"/>
      <c r="C2" s="121"/>
      <c r="D2" s="121"/>
      <c r="E2" s="121"/>
      <c r="F2" s="121"/>
      <c r="G2" s="124" t="s">
        <v>0</v>
      </c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60"/>
      <c r="W2" s="128" t="s">
        <v>1</v>
      </c>
      <c r="X2" s="129"/>
      <c r="Y2" s="129"/>
      <c r="Z2" s="129" t="s">
        <v>2</v>
      </c>
      <c r="AA2" s="129"/>
      <c r="AB2" s="129"/>
      <c r="AC2" s="129" t="s">
        <v>3</v>
      </c>
      <c r="AD2" s="129"/>
      <c r="AE2" s="129"/>
      <c r="AF2" s="130" t="s">
        <v>4</v>
      </c>
      <c r="AG2" s="130"/>
      <c r="AH2" s="131"/>
      <c r="BZ2" s="3"/>
    </row>
    <row r="3" spans="2:78" ht="13" customHeight="1" x14ac:dyDescent="0.3">
      <c r="B3" s="122"/>
      <c r="C3" s="123"/>
      <c r="D3" s="123"/>
      <c r="E3" s="123"/>
      <c r="F3" s="123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61"/>
      <c r="W3" s="153"/>
      <c r="X3" s="154"/>
      <c r="Y3" s="155"/>
      <c r="Z3" s="107"/>
      <c r="AA3" s="107"/>
      <c r="AB3" s="107"/>
      <c r="AC3" s="107"/>
      <c r="AD3" s="107"/>
      <c r="AE3" s="107"/>
      <c r="AF3" s="107"/>
      <c r="AG3" s="107"/>
      <c r="AH3" s="108"/>
      <c r="BZ3" s="3" t="s">
        <v>5</v>
      </c>
    </row>
    <row r="4" spans="2:78" ht="14.15" customHeight="1" x14ac:dyDescent="0.3">
      <c r="B4" s="109" t="s">
        <v>6</v>
      </c>
      <c r="C4" s="110"/>
      <c r="D4" s="110"/>
      <c r="E4" s="110"/>
      <c r="F4" s="111"/>
      <c r="G4" s="111"/>
      <c r="H4" s="111"/>
      <c r="I4" s="111"/>
      <c r="J4" s="111"/>
      <c r="K4" s="112"/>
      <c r="L4" s="113" t="s">
        <v>7</v>
      </c>
      <c r="M4" s="110"/>
      <c r="N4" s="114"/>
      <c r="O4" s="156"/>
      <c r="P4" s="157"/>
      <c r="Q4" s="157"/>
      <c r="R4" s="157"/>
      <c r="S4" s="157"/>
      <c r="T4" s="157"/>
      <c r="U4" s="157"/>
      <c r="V4" s="157"/>
      <c r="W4" s="147"/>
      <c r="X4" s="148"/>
      <c r="Y4" s="149"/>
      <c r="Z4" s="107"/>
      <c r="AA4" s="107"/>
      <c r="AB4" s="107"/>
      <c r="AC4" s="107"/>
      <c r="AD4" s="107"/>
      <c r="AE4" s="107"/>
      <c r="AF4" s="107"/>
      <c r="AG4" s="107"/>
      <c r="AH4" s="108"/>
    </row>
    <row r="5" spans="2:78" ht="14.15" customHeight="1" x14ac:dyDescent="0.3">
      <c r="B5" s="117" t="s">
        <v>8</v>
      </c>
      <c r="C5" s="118"/>
      <c r="D5" s="118"/>
      <c r="E5" s="119" t="s">
        <v>9</v>
      </c>
      <c r="F5" s="119"/>
      <c r="G5" s="119"/>
      <c r="H5" s="119"/>
      <c r="I5" s="119"/>
      <c r="J5" s="119"/>
      <c r="K5" s="119"/>
      <c r="L5" s="118" t="s">
        <v>10</v>
      </c>
      <c r="M5" s="118"/>
      <c r="N5" s="118"/>
      <c r="O5" s="158"/>
      <c r="P5" s="158"/>
      <c r="Q5" s="158"/>
      <c r="R5" s="158"/>
      <c r="S5" s="158"/>
      <c r="T5" s="158"/>
      <c r="U5" s="158"/>
      <c r="V5" s="159"/>
      <c r="W5" s="147"/>
      <c r="X5" s="148"/>
      <c r="Y5" s="149"/>
      <c r="Z5" s="107"/>
      <c r="AA5" s="107"/>
      <c r="AB5" s="107"/>
      <c r="AC5" s="107"/>
      <c r="AD5" s="107"/>
      <c r="AE5" s="107"/>
      <c r="AF5" s="107"/>
      <c r="AG5" s="107"/>
      <c r="AH5" s="108"/>
    </row>
    <row r="6" spans="2:78" ht="5.15" customHeight="1" x14ac:dyDescent="0.3">
      <c r="B6" s="99"/>
      <c r="C6" s="100"/>
      <c r="D6" s="100"/>
      <c r="E6" s="100"/>
      <c r="F6" s="4"/>
      <c r="G6" s="4"/>
      <c r="H6" s="4"/>
      <c r="I6" s="4"/>
      <c r="J6" s="4"/>
      <c r="K6" s="4"/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147"/>
      <c r="X6" s="148"/>
      <c r="Y6" s="149"/>
      <c r="Z6" s="107"/>
      <c r="AA6" s="107"/>
      <c r="AB6" s="107"/>
      <c r="AC6" s="107"/>
      <c r="AD6" s="107"/>
      <c r="AE6" s="107"/>
      <c r="AF6" s="107"/>
      <c r="AG6" s="107"/>
      <c r="AH6" s="108"/>
    </row>
    <row r="7" spans="2:78" ht="15.65" customHeight="1" x14ac:dyDescent="0.3">
      <c r="B7" s="101"/>
      <c r="C7" s="102"/>
      <c r="D7" s="102"/>
      <c r="E7" s="102"/>
      <c r="F7" s="7"/>
      <c r="G7" s="7"/>
      <c r="H7" s="8"/>
      <c r="I7" s="7" t="s">
        <v>11</v>
      </c>
      <c r="J7" s="7"/>
      <c r="K7" s="7"/>
      <c r="L7" s="7"/>
      <c r="M7" s="7"/>
      <c r="N7" s="7"/>
      <c r="O7" s="7"/>
      <c r="P7" s="8"/>
      <c r="Q7" s="7" t="s">
        <v>12</v>
      </c>
      <c r="R7" s="7"/>
      <c r="S7" s="7"/>
      <c r="T7" s="7"/>
      <c r="U7" s="7"/>
      <c r="V7" s="7"/>
      <c r="W7" s="150"/>
      <c r="X7" s="151"/>
      <c r="Y7" s="152"/>
      <c r="Z7" s="107"/>
      <c r="AA7" s="107"/>
      <c r="AB7" s="107"/>
      <c r="AC7" s="107"/>
      <c r="AD7" s="107"/>
      <c r="AE7" s="107"/>
      <c r="AF7" s="107"/>
      <c r="AG7" s="107"/>
      <c r="AH7" s="108"/>
    </row>
    <row r="8" spans="2:78" ht="18" customHeight="1" x14ac:dyDescent="0.3">
      <c r="B8" s="101"/>
      <c r="C8" s="102"/>
      <c r="D8" s="102"/>
      <c r="E8" s="102"/>
      <c r="F8" s="7"/>
      <c r="G8" s="7"/>
      <c r="H8" s="8"/>
      <c r="I8" s="7" t="s">
        <v>13</v>
      </c>
      <c r="J8" s="7"/>
      <c r="K8" s="7"/>
      <c r="L8" s="7"/>
      <c r="M8" s="7"/>
      <c r="N8" s="7"/>
      <c r="O8" s="7"/>
      <c r="P8" s="8"/>
      <c r="Q8" s="7" t="s">
        <v>14</v>
      </c>
      <c r="R8" s="7"/>
      <c r="S8" s="7"/>
      <c r="T8" s="7"/>
      <c r="U8" s="7"/>
      <c r="V8" s="7"/>
      <c r="W8" s="105" t="s">
        <v>15</v>
      </c>
      <c r="X8" s="81"/>
      <c r="Y8" s="81"/>
      <c r="Z8" s="81" t="s">
        <v>15</v>
      </c>
      <c r="AA8" s="81"/>
      <c r="AB8" s="81"/>
      <c r="AC8" s="81" t="s">
        <v>15</v>
      </c>
      <c r="AD8" s="81"/>
      <c r="AE8" s="81"/>
      <c r="AF8" s="81" t="s">
        <v>15</v>
      </c>
      <c r="AG8" s="81"/>
      <c r="AH8" s="82"/>
    </row>
    <row r="9" spans="2:78" ht="5.15" customHeight="1" thickBot="1" x14ac:dyDescent="0.35">
      <c r="B9" s="103"/>
      <c r="C9" s="104"/>
      <c r="D9" s="104"/>
      <c r="E9" s="104"/>
      <c r="F9" s="9"/>
      <c r="G9" s="9"/>
      <c r="H9" s="9"/>
      <c r="I9" s="9"/>
      <c r="J9" s="9"/>
      <c r="K9" s="9"/>
      <c r="L9" s="9"/>
      <c r="M9" s="9"/>
      <c r="N9" s="9"/>
      <c r="O9" s="9"/>
      <c r="P9" s="10"/>
      <c r="Q9" s="10"/>
      <c r="R9" s="10"/>
      <c r="S9" s="10"/>
      <c r="T9" s="10"/>
      <c r="U9" s="10"/>
      <c r="V9" s="10"/>
      <c r="W9" s="106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4"/>
    </row>
    <row r="10" spans="2:78" ht="13.5" thickTop="1" x14ac:dyDescent="0.3">
      <c r="B10" s="85" t="s">
        <v>16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7"/>
      <c r="Z10" s="85" t="s">
        <v>17</v>
      </c>
      <c r="AA10" s="86"/>
      <c r="AB10" s="86"/>
      <c r="AC10" s="86"/>
      <c r="AD10" s="86"/>
      <c r="AE10" s="86"/>
      <c r="AF10" s="86"/>
      <c r="AG10" s="86"/>
      <c r="AH10" s="87"/>
      <c r="BE10" s="3"/>
    </row>
    <row r="11" spans="2:78" x14ac:dyDescent="0.3">
      <c r="B11" s="11" t="s">
        <v>18</v>
      </c>
      <c r="C11" s="88" t="s">
        <v>19</v>
      </c>
      <c r="D11" s="88"/>
      <c r="E11" s="88"/>
      <c r="F11" s="88"/>
      <c r="G11" s="88"/>
      <c r="H11" s="88" t="s">
        <v>20</v>
      </c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 t="s">
        <v>21</v>
      </c>
      <c r="T11" s="88"/>
      <c r="U11" s="88"/>
      <c r="V11" s="88"/>
      <c r="W11" s="88" t="s">
        <v>22</v>
      </c>
      <c r="X11" s="88"/>
      <c r="Y11" s="89"/>
      <c r="Z11" s="90" t="s">
        <v>21</v>
      </c>
      <c r="AA11" s="88"/>
      <c r="AB11" s="88"/>
      <c r="AC11" s="88"/>
      <c r="AD11" s="88" t="s">
        <v>23</v>
      </c>
      <c r="AE11" s="88"/>
      <c r="AF11" s="88"/>
      <c r="AG11" s="88"/>
      <c r="AH11" s="89"/>
      <c r="AL11" s="12" t="s">
        <v>19</v>
      </c>
      <c r="AM11" s="12" t="s">
        <v>20</v>
      </c>
      <c r="AN11" s="12" t="s">
        <v>24</v>
      </c>
      <c r="AO11" s="13" t="s">
        <v>25</v>
      </c>
      <c r="AP11" s="14" t="s">
        <v>26</v>
      </c>
      <c r="AR11" s="15" t="s">
        <v>27</v>
      </c>
      <c r="AS11" s="15" t="s">
        <v>28</v>
      </c>
    </row>
    <row r="12" spans="2:78" s="17" customFormat="1" ht="16" customHeight="1" x14ac:dyDescent="0.3">
      <c r="B12" s="16">
        <v>1</v>
      </c>
      <c r="C12" s="57"/>
      <c r="D12" s="57"/>
      <c r="E12" s="57"/>
      <c r="F12" s="57"/>
      <c r="G12" s="57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57"/>
      <c r="T12" s="57"/>
      <c r="U12" s="57"/>
      <c r="V12" s="57"/>
      <c r="W12" s="57"/>
      <c r="X12" s="57"/>
      <c r="Y12" s="58"/>
      <c r="Z12" s="78"/>
      <c r="AA12" s="78"/>
      <c r="AB12" s="78"/>
      <c r="AC12" s="78"/>
      <c r="AD12" s="76"/>
      <c r="AE12" s="76"/>
      <c r="AF12" s="76"/>
      <c r="AG12" s="76"/>
      <c r="AH12" s="77"/>
      <c r="AK12" s="1"/>
      <c r="AL12" s="12" t="s">
        <v>29</v>
      </c>
      <c r="AM12" s="12" t="s">
        <v>30</v>
      </c>
      <c r="AN12" s="18">
        <f>480*1350</f>
        <v>648000</v>
      </c>
      <c r="AO12" s="13">
        <v>2</v>
      </c>
      <c r="AP12" s="19">
        <f>AO12*AN12</f>
        <v>1296000</v>
      </c>
      <c r="AQ12" s="1"/>
      <c r="AR12" s="20"/>
      <c r="AS12" s="21"/>
    </row>
    <row r="13" spans="2:78" s="17" customFormat="1" ht="16" customHeight="1" x14ac:dyDescent="0.3">
      <c r="B13" s="16">
        <v>2</v>
      </c>
      <c r="C13" s="57"/>
      <c r="D13" s="57"/>
      <c r="E13" s="57"/>
      <c r="F13" s="57"/>
      <c r="G13" s="57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57"/>
      <c r="T13" s="57"/>
      <c r="U13" s="57"/>
      <c r="V13" s="57"/>
      <c r="W13" s="57"/>
      <c r="X13" s="57"/>
      <c r="Y13" s="58"/>
      <c r="Z13" s="78"/>
      <c r="AA13" s="78"/>
      <c r="AB13" s="78"/>
      <c r="AC13" s="78"/>
      <c r="AD13" s="79"/>
      <c r="AE13" s="79"/>
      <c r="AF13" s="79"/>
      <c r="AG13" s="79"/>
      <c r="AH13" s="80"/>
      <c r="AK13" s="1"/>
      <c r="AL13" s="12" t="s">
        <v>31</v>
      </c>
      <c r="AM13" s="12" t="s">
        <v>32</v>
      </c>
      <c r="AN13" s="18">
        <f t="shared" ref="AN13:AN15" si="0">480*1350</f>
        <v>648000</v>
      </c>
      <c r="AO13" s="13"/>
      <c r="AP13" s="19">
        <f t="shared" ref="AP13:AP19" si="1">AO13*AN13</f>
        <v>0</v>
      </c>
      <c r="AQ13" s="1"/>
      <c r="AR13" s="20"/>
      <c r="AS13" s="21"/>
    </row>
    <row r="14" spans="2:78" s="17" customFormat="1" ht="16" customHeight="1" x14ac:dyDescent="0.3">
      <c r="B14" s="16">
        <v>3</v>
      </c>
      <c r="C14" s="57"/>
      <c r="D14" s="57"/>
      <c r="E14" s="57"/>
      <c r="F14" s="57"/>
      <c r="G14" s="57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57"/>
      <c r="T14" s="57"/>
      <c r="U14" s="57"/>
      <c r="V14" s="57"/>
      <c r="W14" s="57"/>
      <c r="X14" s="57"/>
      <c r="Y14" s="58"/>
      <c r="Z14" s="78"/>
      <c r="AA14" s="78"/>
      <c r="AB14" s="78"/>
      <c r="AC14" s="78"/>
      <c r="AD14" s="57"/>
      <c r="AE14" s="57"/>
      <c r="AF14" s="57"/>
      <c r="AG14" s="57"/>
      <c r="AH14" s="58"/>
      <c r="AK14" s="1"/>
      <c r="AL14" s="12" t="s">
        <v>33</v>
      </c>
      <c r="AM14" s="12" t="s">
        <v>34</v>
      </c>
      <c r="AN14" s="18">
        <f t="shared" si="0"/>
        <v>648000</v>
      </c>
      <c r="AO14" s="13"/>
      <c r="AP14" s="19">
        <f t="shared" si="1"/>
        <v>0</v>
      </c>
      <c r="AQ14" s="1"/>
      <c r="AR14" s="20"/>
      <c r="AS14" s="21"/>
    </row>
    <row r="15" spans="2:78" s="17" customFormat="1" ht="16" customHeight="1" x14ac:dyDescent="0.3">
      <c r="B15" s="16">
        <v>4</v>
      </c>
      <c r="C15" s="57"/>
      <c r="D15" s="57"/>
      <c r="E15" s="57"/>
      <c r="F15" s="57"/>
      <c r="G15" s="57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57"/>
      <c r="T15" s="57"/>
      <c r="U15" s="57"/>
      <c r="V15" s="57"/>
      <c r="W15" s="57"/>
      <c r="X15" s="57"/>
      <c r="Y15" s="58"/>
      <c r="Z15" s="75"/>
      <c r="AA15" s="75"/>
      <c r="AB15" s="75"/>
      <c r="AC15" s="75"/>
      <c r="AD15" s="76"/>
      <c r="AE15" s="76"/>
      <c r="AF15" s="76"/>
      <c r="AG15" s="76"/>
      <c r="AH15" s="77"/>
      <c r="AK15" s="1"/>
      <c r="AL15" s="12" t="s">
        <v>35</v>
      </c>
      <c r="AM15" s="12" t="s">
        <v>36</v>
      </c>
      <c r="AN15" s="18">
        <f t="shared" si="0"/>
        <v>648000</v>
      </c>
      <c r="AO15" s="13"/>
      <c r="AP15" s="19">
        <f t="shared" si="1"/>
        <v>0</v>
      </c>
      <c r="AQ15" s="1"/>
      <c r="AR15" s="20"/>
      <c r="AS15" s="21"/>
    </row>
    <row r="16" spans="2:78" s="17" customFormat="1" ht="16" customHeight="1" x14ac:dyDescent="0.3">
      <c r="B16" s="16">
        <v>5</v>
      </c>
      <c r="C16" s="57"/>
      <c r="D16" s="57"/>
      <c r="E16" s="57"/>
      <c r="F16" s="57"/>
      <c r="G16" s="57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57"/>
      <c r="T16" s="57"/>
      <c r="U16" s="57"/>
      <c r="V16" s="57"/>
      <c r="W16" s="57"/>
      <c r="X16" s="57"/>
      <c r="Y16" s="58"/>
      <c r="Z16" s="75"/>
      <c r="AA16" s="75"/>
      <c r="AB16" s="75"/>
      <c r="AC16" s="75"/>
      <c r="AD16" s="76"/>
      <c r="AE16" s="76"/>
      <c r="AF16" s="76"/>
      <c r="AG16" s="76"/>
      <c r="AH16" s="77"/>
      <c r="AK16" s="1"/>
      <c r="AL16" s="12" t="s">
        <v>37</v>
      </c>
      <c r="AM16" s="12" t="s">
        <v>38</v>
      </c>
      <c r="AN16" s="18">
        <f>480*3655</f>
        <v>1754400</v>
      </c>
      <c r="AO16" s="13"/>
      <c r="AP16" s="19">
        <f t="shared" si="1"/>
        <v>0</v>
      </c>
      <c r="AQ16" s="1"/>
      <c r="AR16" s="20"/>
      <c r="AS16" s="21"/>
    </row>
    <row r="17" spans="1:46" s="17" customFormat="1" ht="16" customHeight="1" x14ac:dyDescent="0.3">
      <c r="B17" s="16">
        <v>6</v>
      </c>
      <c r="C17" s="57"/>
      <c r="D17" s="57"/>
      <c r="E17" s="57"/>
      <c r="F17" s="57"/>
      <c r="G17" s="57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57"/>
      <c r="T17" s="57"/>
      <c r="U17" s="57"/>
      <c r="V17" s="57"/>
      <c r="W17" s="57"/>
      <c r="X17" s="57"/>
      <c r="Y17" s="58"/>
      <c r="Z17" s="75"/>
      <c r="AA17" s="75"/>
      <c r="AB17" s="75"/>
      <c r="AC17" s="75"/>
      <c r="AD17" s="71"/>
      <c r="AE17" s="72"/>
      <c r="AF17" s="72"/>
      <c r="AG17" s="72"/>
      <c r="AH17" s="73"/>
      <c r="AK17" s="1"/>
      <c r="AL17" s="12" t="s">
        <v>39</v>
      </c>
      <c r="AM17" s="12" t="s">
        <v>40</v>
      </c>
      <c r="AN17" s="18">
        <f>480*682</f>
        <v>327360</v>
      </c>
      <c r="AO17" s="13"/>
      <c r="AP17" s="19">
        <f t="shared" si="1"/>
        <v>0</v>
      </c>
      <c r="AQ17" s="1"/>
      <c r="AR17" s="20"/>
      <c r="AS17" s="21"/>
    </row>
    <row r="18" spans="1:46" s="17" customFormat="1" ht="16" customHeight="1" x14ac:dyDescent="0.3">
      <c r="B18" s="16">
        <v>7</v>
      </c>
      <c r="C18" s="57"/>
      <c r="D18" s="57"/>
      <c r="E18" s="57"/>
      <c r="F18" s="57"/>
      <c r="G18" s="57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57"/>
      <c r="T18" s="57"/>
      <c r="U18" s="57"/>
      <c r="V18" s="57"/>
      <c r="W18" s="57"/>
      <c r="X18" s="57"/>
      <c r="Y18" s="58"/>
      <c r="Z18" s="59"/>
      <c r="AA18" s="60"/>
      <c r="AB18" s="60"/>
      <c r="AC18" s="60"/>
      <c r="AD18" s="71"/>
      <c r="AE18" s="72"/>
      <c r="AF18" s="72"/>
      <c r="AG18" s="72"/>
      <c r="AH18" s="73"/>
      <c r="AK18" s="1"/>
      <c r="AL18" s="12" t="s">
        <v>41</v>
      </c>
      <c r="AM18" s="12" t="s">
        <v>42</v>
      </c>
      <c r="AN18" s="18">
        <f>480*682</f>
        <v>327360</v>
      </c>
      <c r="AO18" s="13"/>
      <c r="AP18" s="19">
        <f t="shared" si="1"/>
        <v>0</v>
      </c>
      <c r="AQ18" s="1"/>
      <c r="AR18" s="20"/>
      <c r="AS18" s="22"/>
    </row>
    <row r="19" spans="1:46" s="17" customFormat="1" ht="16" customHeight="1" x14ac:dyDescent="0.3">
      <c r="A19" s="17">
        <v>15</v>
      </c>
      <c r="B19" s="16">
        <v>8</v>
      </c>
      <c r="C19" s="57"/>
      <c r="D19" s="57"/>
      <c r="E19" s="57"/>
      <c r="F19" s="57"/>
      <c r="G19" s="57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57"/>
      <c r="T19" s="57"/>
      <c r="U19" s="57"/>
      <c r="V19" s="57"/>
      <c r="W19" s="57"/>
      <c r="X19" s="57"/>
      <c r="Y19" s="58"/>
      <c r="Z19" s="59"/>
      <c r="AA19" s="60"/>
      <c r="AB19" s="60"/>
      <c r="AC19" s="60"/>
      <c r="AD19" s="60"/>
      <c r="AE19" s="60"/>
      <c r="AF19" s="60"/>
      <c r="AG19" s="60"/>
      <c r="AH19" s="61"/>
      <c r="AK19" s="1"/>
      <c r="AL19" s="12" t="s">
        <v>43</v>
      </c>
      <c r="AM19" s="12" t="s">
        <v>44</v>
      </c>
      <c r="AN19" s="18">
        <f t="shared" ref="AN19" si="2">480*1350</f>
        <v>648000</v>
      </c>
      <c r="AO19" s="13"/>
      <c r="AP19" s="19">
        <f t="shared" si="1"/>
        <v>0</v>
      </c>
      <c r="AQ19" s="1"/>
      <c r="AR19" s="20"/>
      <c r="AS19" s="22"/>
    </row>
    <row r="20" spans="1:46" s="17" customFormat="1" ht="16" customHeight="1" x14ac:dyDescent="0.3">
      <c r="B20" s="16">
        <v>9</v>
      </c>
      <c r="C20" s="57"/>
      <c r="D20" s="57"/>
      <c r="E20" s="57"/>
      <c r="F20" s="57"/>
      <c r="G20" s="57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57"/>
      <c r="T20" s="57"/>
      <c r="U20" s="57"/>
      <c r="V20" s="57"/>
      <c r="W20" s="57"/>
      <c r="X20" s="57"/>
      <c r="Y20" s="58"/>
      <c r="Z20" s="59"/>
      <c r="AA20" s="60"/>
      <c r="AB20" s="60"/>
      <c r="AC20" s="60"/>
      <c r="AD20" s="70"/>
      <c r="AE20" s="60"/>
      <c r="AF20" s="60"/>
      <c r="AG20" s="60"/>
      <c r="AH20" s="61"/>
      <c r="AK20" s="1"/>
      <c r="AL20" s="12" t="s">
        <v>45</v>
      </c>
      <c r="AM20" s="12"/>
      <c r="AN20" s="18"/>
      <c r="AO20" s="13"/>
      <c r="AP20" s="19"/>
      <c r="AQ20" s="1"/>
      <c r="AR20" s="23">
        <v>3</v>
      </c>
      <c r="AS20" s="24">
        <v>2</v>
      </c>
    </row>
    <row r="21" spans="1:46" s="17" customFormat="1" ht="16" customHeight="1" x14ac:dyDescent="0.3">
      <c r="B21" s="16">
        <v>10</v>
      </c>
      <c r="C21" s="57"/>
      <c r="D21" s="57"/>
      <c r="E21" s="57"/>
      <c r="F21" s="57"/>
      <c r="G21" s="57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57"/>
      <c r="T21" s="57"/>
      <c r="U21" s="57"/>
      <c r="V21" s="57"/>
      <c r="W21" s="57"/>
      <c r="X21" s="57"/>
      <c r="Y21" s="58"/>
      <c r="Z21" s="65"/>
      <c r="AA21" s="60"/>
      <c r="AB21" s="60"/>
      <c r="AC21" s="60"/>
      <c r="AD21" s="57"/>
      <c r="AE21" s="57"/>
      <c r="AF21" s="57"/>
      <c r="AG21" s="57"/>
      <c r="AH21" s="58"/>
      <c r="AK21" s="1"/>
      <c r="AL21" s="12" t="s">
        <v>46</v>
      </c>
      <c r="AM21" s="12"/>
      <c r="AN21" s="18"/>
      <c r="AO21" s="13"/>
      <c r="AP21" s="19"/>
      <c r="AQ21" s="1"/>
      <c r="AR21" s="23">
        <v>3</v>
      </c>
      <c r="AS21" s="24">
        <v>2</v>
      </c>
    </row>
    <row r="22" spans="1:46" s="17" customFormat="1" ht="16" customHeight="1" x14ac:dyDescent="0.3">
      <c r="B22" s="16">
        <v>11</v>
      </c>
      <c r="C22" s="57"/>
      <c r="D22" s="57"/>
      <c r="E22" s="57"/>
      <c r="F22" s="57"/>
      <c r="G22" s="57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57"/>
      <c r="T22" s="57"/>
      <c r="U22" s="57"/>
      <c r="V22" s="57"/>
      <c r="W22" s="57"/>
      <c r="X22" s="57"/>
      <c r="Y22" s="58"/>
      <c r="Z22" s="59"/>
      <c r="AA22" s="60"/>
      <c r="AB22" s="60"/>
      <c r="AC22" s="60"/>
      <c r="AD22" s="57"/>
      <c r="AE22" s="57"/>
      <c r="AF22" s="57"/>
      <c r="AG22" s="57"/>
      <c r="AH22" s="58"/>
      <c r="AK22" s="1"/>
      <c r="AL22" s="12"/>
      <c r="AM22" s="12"/>
      <c r="AN22" s="18"/>
      <c r="AO22" s="13"/>
      <c r="AP22" s="19"/>
      <c r="AQ22" s="1"/>
      <c r="AR22" s="23"/>
      <c r="AS22" s="24"/>
    </row>
    <row r="23" spans="1:46" s="17" customFormat="1" ht="16" customHeight="1" x14ac:dyDescent="0.3">
      <c r="B23" s="16">
        <v>12</v>
      </c>
      <c r="C23" s="57"/>
      <c r="D23" s="57"/>
      <c r="E23" s="57"/>
      <c r="F23" s="57"/>
      <c r="G23" s="57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57"/>
      <c r="T23" s="57"/>
      <c r="U23" s="57"/>
      <c r="V23" s="57"/>
      <c r="W23" s="57"/>
      <c r="X23" s="57"/>
      <c r="Y23" s="58"/>
      <c r="Z23" s="68"/>
      <c r="AA23" s="69"/>
      <c r="AB23" s="69"/>
      <c r="AC23" s="69"/>
      <c r="AD23" s="66"/>
      <c r="AE23" s="66"/>
      <c r="AF23" s="66"/>
      <c r="AG23" s="66"/>
      <c r="AH23" s="67"/>
      <c r="AK23" s="1"/>
      <c r="AL23" s="12"/>
      <c r="AM23" s="12"/>
      <c r="AN23" s="18"/>
      <c r="AO23" s="13"/>
      <c r="AP23" s="19"/>
      <c r="AQ23" s="1"/>
      <c r="AR23" s="23"/>
      <c r="AS23" s="24"/>
    </row>
    <row r="24" spans="1:46" s="17" customFormat="1" ht="16" customHeight="1" x14ac:dyDescent="0.3">
      <c r="B24" s="16">
        <v>13</v>
      </c>
      <c r="C24" s="57"/>
      <c r="D24" s="57"/>
      <c r="E24" s="57"/>
      <c r="F24" s="57"/>
      <c r="G24" s="57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57"/>
      <c r="T24" s="57"/>
      <c r="U24" s="57"/>
      <c r="V24" s="57"/>
      <c r="W24" s="57"/>
      <c r="X24" s="57"/>
      <c r="Y24" s="58"/>
      <c r="Z24" s="65"/>
      <c r="AA24" s="60"/>
      <c r="AB24" s="60"/>
      <c r="AC24" s="60"/>
      <c r="AD24" s="66"/>
      <c r="AE24" s="66"/>
      <c r="AF24" s="66"/>
      <c r="AG24" s="66"/>
      <c r="AH24" s="67"/>
      <c r="AK24" s="1"/>
      <c r="AL24" s="12"/>
      <c r="AM24" s="12"/>
      <c r="AN24" s="18"/>
      <c r="AO24" s="13"/>
      <c r="AP24" s="19"/>
      <c r="AQ24" s="1"/>
      <c r="AR24" s="23"/>
      <c r="AS24" s="25"/>
    </row>
    <row r="25" spans="1:46" s="17" customFormat="1" ht="16" customHeight="1" x14ac:dyDescent="0.3">
      <c r="B25" s="16">
        <v>14</v>
      </c>
      <c r="C25" s="57"/>
      <c r="D25" s="57"/>
      <c r="E25" s="57"/>
      <c r="F25" s="57"/>
      <c r="G25" s="57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57"/>
      <c r="T25" s="57"/>
      <c r="U25" s="57"/>
      <c r="V25" s="57"/>
      <c r="W25" s="57"/>
      <c r="X25" s="57"/>
      <c r="Y25" s="58"/>
      <c r="Z25" s="62"/>
      <c r="AA25" s="63"/>
      <c r="AB25" s="63"/>
      <c r="AC25" s="64"/>
      <c r="AD25" s="60"/>
      <c r="AE25" s="60"/>
      <c r="AF25" s="60"/>
      <c r="AG25" s="60"/>
      <c r="AH25" s="61"/>
      <c r="AK25" s="1"/>
      <c r="AL25" s="12"/>
      <c r="AM25" s="12"/>
      <c r="AN25" s="18"/>
      <c r="AO25" s="13"/>
      <c r="AP25" s="19"/>
      <c r="AQ25" s="1"/>
      <c r="AR25" s="23"/>
      <c r="AS25" s="25"/>
    </row>
    <row r="26" spans="1:46" s="17" customFormat="1" ht="16" customHeight="1" x14ac:dyDescent="0.3">
      <c r="B26" s="16">
        <v>15</v>
      </c>
      <c r="C26" s="57"/>
      <c r="D26" s="57"/>
      <c r="E26" s="57"/>
      <c r="F26" s="57"/>
      <c r="G26" s="57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57"/>
      <c r="T26" s="57"/>
      <c r="U26" s="57"/>
      <c r="V26" s="57"/>
      <c r="W26" s="57"/>
      <c r="X26" s="57"/>
      <c r="Y26" s="58"/>
      <c r="Z26" s="59"/>
      <c r="AA26" s="60"/>
      <c r="AB26" s="60"/>
      <c r="AC26" s="60"/>
      <c r="AD26" s="60"/>
      <c r="AE26" s="60"/>
      <c r="AF26" s="60"/>
      <c r="AG26" s="60"/>
      <c r="AH26" s="61"/>
      <c r="AK26" s="1"/>
      <c r="AL26" s="12"/>
      <c r="AM26" s="12"/>
      <c r="AN26" s="18"/>
      <c r="AO26" s="13"/>
      <c r="AP26" s="19"/>
      <c r="AQ26" s="1"/>
      <c r="AR26" s="23"/>
      <c r="AS26" s="25"/>
    </row>
    <row r="27" spans="1:46" s="17" customFormat="1" ht="16" customHeight="1" thickBot="1" x14ac:dyDescent="0.35">
      <c r="B27" s="26"/>
      <c r="C27" s="135"/>
      <c r="D27" s="136"/>
      <c r="E27" s="136"/>
      <c r="F27" s="136"/>
      <c r="G27" s="137"/>
      <c r="H27" s="138"/>
      <c r="I27" s="139"/>
      <c r="J27" s="139"/>
      <c r="K27" s="139"/>
      <c r="L27" s="139"/>
      <c r="M27" s="139"/>
      <c r="N27" s="139"/>
      <c r="O27" s="139"/>
      <c r="P27" s="139"/>
      <c r="Q27" s="139"/>
      <c r="R27" s="140"/>
      <c r="S27" s="135"/>
      <c r="T27" s="136"/>
      <c r="U27" s="136"/>
      <c r="V27" s="137"/>
      <c r="W27" s="135"/>
      <c r="X27" s="136"/>
      <c r="Y27" s="141"/>
      <c r="Z27" s="142"/>
      <c r="AA27" s="143"/>
      <c r="AB27" s="143"/>
      <c r="AC27" s="144"/>
      <c r="AD27" s="145"/>
      <c r="AE27" s="143"/>
      <c r="AF27" s="143"/>
      <c r="AG27" s="143"/>
      <c r="AH27" s="146"/>
      <c r="AK27" s="1"/>
      <c r="AL27" s="12" t="s">
        <v>47</v>
      </c>
      <c r="AM27" s="12"/>
      <c r="AN27" s="18"/>
      <c r="AO27" s="19">
        <f>SUM(AO12:AO26)</f>
        <v>2</v>
      </c>
      <c r="AP27" s="19">
        <f>SUM(AP12:AP26)</f>
        <v>1296000</v>
      </c>
      <c r="AQ27" s="1"/>
      <c r="AR27" s="27"/>
      <c r="AS27" s="28"/>
    </row>
    <row r="28" spans="1:46" s="17" customFormat="1" ht="15" customHeight="1" thickTop="1" thickBot="1" x14ac:dyDescent="0.35">
      <c r="B28" s="39" t="s">
        <v>23</v>
      </c>
      <c r="C28" s="40"/>
      <c r="D28" s="40"/>
      <c r="E28" s="40"/>
      <c r="F28" s="40"/>
      <c r="G28" s="41"/>
      <c r="H28" s="42" t="s">
        <v>48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4"/>
      <c r="AK28" s="1"/>
      <c r="AL28" s="1"/>
      <c r="AM28" s="1"/>
      <c r="AN28" s="29"/>
      <c r="AO28" s="30"/>
      <c r="AP28" s="30"/>
      <c r="AQ28" s="30"/>
      <c r="AR28" s="30"/>
      <c r="AS28" s="30"/>
      <c r="AT28" s="30"/>
    </row>
    <row r="29" spans="1:46" ht="13.4" customHeight="1" thickTop="1" x14ac:dyDescent="0.3">
      <c r="A29" s="31"/>
      <c r="W29" s="45" t="s">
        <v>49</v>
      </c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31"/>
    </row>
    <row r="30" spans="1:46" ht="8.25" customHeight="1" x14ac:dyDescent="0.3"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spans="1:46" ht="16.399999999999999" hidden="1" customHeight="1" x14ac:dyDescent="0.3"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spans="1:46" ht="13.4" hidden="1" customHeight="1" x14ac:dyDescent="0.3"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spans="2:45" ht="12.75" hidden="1" customHeight="1" x14ac:dyDescent="0.3"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spans="2:45" ht="16.399999999999999" customHeight="1" x14ac:dyDescent="0.3"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spans="2:45" ht="13.4" customHeight="1" thickBot="1" x14ac:dyDescent="0.35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spans="2:45" ht="13.4" hidden="1" customHeight="1" thickBot="1" x14ac:dyDescent="0.3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</row>
    <row r="37" spans="2:45" ht="13" customHeight="1" thickTop="1" x14ac:dyDescent="0.3">
      <c r="B37" s="120"/>
      <c r="C37" s="121"/>
      <c r="D37" s="121"/>
      <c r="E37" s="121"/>
      <c r="F37" s="121"/>
      <c r="G37" s="124" t="s">
        <v>0</v>
      </c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5"/>
      <c r="W37" s="128" t="s">
        <v>1</v>
      </c>
      <c r="X37" s="129"/>
      <c r="Y37" s="129"/>
      <c r="Z37" s="129" t="s">
        <v>2</v>
      </c>
      <c r="AA37" s="129"/>
      <c r="AB37" s="129"/>
      <c r="AC37" s="129" t="s">
        <v>3</v>
      </c>
      <c r="AD37" s="129"/>
      <c r="AE37" s="129"/>
      <c r="AF37" s="130" t="s">
        <v>4</v>
      </c>
      <c r="AG37" s="130"/>
      <c r="AH37" s="131"/>
    </row>
    <row r="38" spans="2:45" ht="13" customHeight="1" x14ac:dyDescent="0.3">
      <c r="B38" s="122"/>
      <c r="C38" s="123"/>
      <c r="D38" s="123"/>
      <c r="E38" s="123"/>
      <c r="F38" s="123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7"/>
      <c r="W38" s="132" t="str">
        <f>IF(W3="","",W3)</f>
        <v/>
      </c>
      <c r="X38" s="133"/>
      <c r="Y38" s="134"/>
      <c r="Z38" s="107"/>
      <c r="AA38" s="107"/>
      <c r="AB38" s="107"/>
      <c r="AC38" s="107"/>
      <c r="AD38" s="107"/>
      <c r="AE38" s="107"/>
      <c r="AF38" s="107"/>
      <c r="AG38" s="107"/>
      <c r="AH38" s="108"/>
    </row>
    <row r="39" spans="2:45" ht="14.15" customHeight="1" x14ac:dyDescent="0.3">
      <c r="B39" s="109" t="s">
        <v>6</v>
      </c>
      <c r="C39" s="110"/>
      <c r="D39" s="110"/>
      <c r="E39" s="110"/>
      <c r="F39" s="111" t="str">
        <f>IF(F4="","",F4)</f>
        <v/>
      </c>
      <c r="G39" s="111"/>
      <c r="H39" s="111"/>
      <c r="I39" s="111"/>
      <c r="J39" s="111"/>
      <c r="K39" s="112"/>
      <c r="L39" s="113" t="s">
        <v>7</v>
      </c>
      <c r="M39" s="110"/>
      <c r="N39" s="114"/>
      <c r="O39" s="115" t="str">
        <f>IF(O4="","",O4)</f>
        <v/>
      </c>
      <c r="P39" s="111"/>
      <c r="Q39" s="111"/>
      <c r="R39" s="111"/>
      <c r="S39" s="111"/>
      <c r="T39" s="111"/>
      <c r="U39" s="111"/>
      <c r="V39" s="116"/>
      <c r="W39" s="93"/>
      <c r="X39" s="94"/>
      <c r="Y39" s="95"/>
      <c r="Z39" s="107"/>
      <c r="AA39" s="107"/>
      <c r="AB39" s="107"/>
      <c r="AC39" s="107"/>
      <c r="AD39" s="107"/>
      <c r="AE39" s="107"/>
      <c r="AF39" s="107"/>
      <c r="AG39" s="107"/>
      <c r="AH39" s="108"/>
    </row>
    <row r="40" spans="2:45" ht="14.15" customHeight="1" x14ac:dyDescent="0.3">
      <c r="B40" s="117" t="s">
        <v>8</v>
      </c>
      <c r="C40" s="118"/>
      <c r="D40" s="118"/>
      <c r="E40" s="119" t="s">
        <v>9</v>
      </c>
      <c r="F40" s="119"/>
      <c r="G40" s="119"/>
      <c r="H40" s="119"/>
      <c r="I40" s="119"/>
      <c r="J40" s="119"/>
      <c r="K40" s="119"/>
      <c r="L40" s="118" t="s">
        <v>10</v>
      </c>
      <c r="M40" s="118"/>
      <c r="N40" s="118"/>
      <c r="O40" s="91" t="str">
        <f>IF(O5="","",O5)</f>
        <v/>
      </c>
      <c r="P40" s="91"/>
      <c r="Q40" s="91"/>
      <c r="R40" s="91"/>
      <c r="S40" s="91"/>
      <c r="T40" s="91"/>
      <c r="U40" s="91"/>
      <c r="V40" s="92"/>
      <c r="W40" s="93" t="str">
        <f>IF(W5="","",W5)</f>
        <v/>
      </c>
      <c r="X40" s="94"/>
      <c r="Y40" s="95"/>
      <c r="Z40" s="107"/>
      <c r="AA40" s="107"/>
      <c r="AB40" s="107"/>
      <c r="AC40" s="107"/>
      <c r="AD40" s="107"/>
      <c r="AE40" s="107"/>
      <c r="AF40" s="107"/>
      <c r="AG40" s="107"/>
      <c r="AH40" s="108"/>
    </row>
    <row r="41" spans="2:45" ht="5.15" customHeight="1" x14ac:dyDescent="0.3">
      <c r="B41" s="99"/>
      <c r="C41" s="100"/>
      <c r="D41" s="100"/>
      <c r="E41" s="100"/>
      <c r="F41" s="4"/>
      <c r="G41" s="4"/>
      <c r="H41" s="4"/>
      <c r="I41" s="4"/>
      <c r="J41" s="4"/>
      <c r="K41" s="4"/>
      <c r="L41" s="5"/>
      <c r="M41" s="5"/>
      <c r="N41" s="5"/>
      <c r="O41" s="6"/>
      <c r="P41" s="6"/>
      <c r="Q41" s="6"/>
      <c r="R41" s="6"/>
      <c r="S41" s="6"/>
      <c r="T41" s="6"/>
      <c r="U41" s="6"/>
      <c r="V41" s="36"/>
      <c r="W41" s="93"/>
      <c r="X41" s="94"/>
      <c r="Y41" s="95"/>
      <c r="Z41" s="107"/>
      <c r="AA41" s="107"/>
      <c r="AB41" s="107"/>
      <c r="AC41" s="107"/>
      <c r="AD41" s="107"/>
      <c r="AE41" s="107"/>
      <c r="AF41" s="107"/>
      <c r="AG41" s="107"/>
      <c r="AH41" s="108"/>
    </row>
    <row r="42" spans="2:45" ht="15.65" customHeight="1" x14ac:dyDescent="0.3">
      <c r="B42" s="101"/>
      <c r="C42" s="102"/>
      <c r="D42" s="102"/>
      <c r="E42" s="102"/>
      <c r="F42" s="7"/>
      <c r="G42" s="7"/>
      <c r="H42" s="8"/>
      <c r="I42" s="7" t="s">
        <v>11</v>
      </c>
      <c r="J42" s="7"/>
      <c r="K42" s="7"/>
      <c r="L42" s="7"/>
      <c r="M42" s="7"/>
      <c r="N42" s="7"/>
      <c r="O42" s="7"/>
      <c r="P42" s="8"/>
      <c r="Q42" s="7" t="s">
        <v>12</v>
      </c>
      <c r="R42" s="7"/>
      <c r="S42" s="7"/>
      <c r="T42" s="7"/>
      <c r="U42" s="7"/>
      <c r="V42" s="37"/>
      <c r="W42" s="96"/>
      <c r="X42" s="97"/>
      <c r="Y42" s="98"/>
      <c r="Z42" s="107"/>
      <c r="AA42" s="107"/>
      <c r="AB42" s="107"/>
      <c r="AC42" s="107"/>
      <c r="AD42" s="107"/>
      <c r="AE42" s="107"/>
      <c r="AF42" s="107"/>
      <c r="AG42" s="107"/>
      <c r="AH42" s="108"/>
    </row>
    <row r="43" spans="2:45" ht="18" customHeight="1" x14ac:dyDescent="0.3">
      <c r="B43" s="101"/>
      <c r="C43" s="102"/>
      <c r="D43" s="102"/>
      <c r="E43" s="102"/>
      <c r="F43" s="7"/>
      <c r="G43" s="7"/>
      <c r="H43" s="8"/>
      <c r="I43" s="7" t="s">
        <v>13</v>
      </c>
      <c r="J43" s="7"/>
      <c r="K43" s="7"/>
      <c r="L43" s="7"/>
      <c r="M43" s="7"/>
      <c r="N43" s="7"/>
      <c r="O43" s="7"/>
      <c r="P43" s="8"/>
      <c r="Q43" s="7" t="s">
        <v>14</v>
      </c>
      <c r="R43" s="7"/>
      <c r="S43" s="7"/>
      <c r="T43" s="7"/>
      <c r="U43" s="7"/>
      <c r="V43" s="37"/>
      <c r="W43" s="105" t="s">
        <v>15</v>
      </c>
      <c r="X43" s="81"/>
      <c r="Y43" s="81"/>
      <c r="Z43" s="81" t="s">
        <v>15</v>
      </c>
      <c r="AA43" s="81"/>
      <c r="AB43" s="81"/>
      <c r="AC43" s="81" t="s">
        <v>15</v>
      </c>
      <c r="AD43" s="81"/>
      <c r="AE43" s="81"/>
      <c r="AF43" s="81" t="s">
        <v>15</v>
      </c>
      <c r="AG43" s="81"/>
      <c r="AH43" s="82"/>
    </row>
    <row r="44" spans="2:45" ht="5.15" customHeight="1" thickBot="1" x14ac:dyDescent="0.35">
      <c r="B44" s="103"/>
      <c r="C44" s="104"/>
      <c r="D44" s="104"/>
      <c r="E44" s="104"/>
      <c r="F44" s="9"/>
      <c r="G44" s="9"/>
      <c r="H44" s="9"/>
      <c r="I44" s="9"/>
      <c r="J44" s="9"/>
      <c r="K44" s="9"/>
      <c r="L44" s="9"/>
      <c r="M44" s="9"/>
      <c r="N44" s="9"/>
      <c r="O44" s="9"/>
      <c r="P44" s="10"/>
      <c r="Q44" s="10"/>
      <c r="R44" s="10"/>
      <c r="S44" s="10"/>
      <c r="T44" s="10"/>
      <c r="U44" s="10"/>
      <c r="V44" s="38"/>
      <c r="W44" s="106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4"/>
    </row>
    <row r="45" spans="2:45" ht="13.5" thickTop="1" x14ac:dyDescent="0.3">
      <c r="B45" s="85" t="s">
        <v>16</v>
      </c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7"/>
      <c r="Z45" s="85" t="s">
        <v>17</v>
      </c>
      <c r="AA45" s="86"/>
      <c r="AB45" s="86"/>
      <c r="AC45" s="86"/>
      <c r="AD45" s="86"/>
      <c r="AE45" s="86"/>
      <c r="AF45" s="86"/>
      <c r="AG45" s="86"/>
      <c r="AH45" s="87"/>
    </row>
    <row r="46" spans="2:45" x14ac:dyDescent="0.3">
      <c r="B46" s="11" t="s">
        <v>18</v>
      </c>
      <c r="C46" s="88" t="s">
        <v>19</v>
      </c>
      <c r="D46" s="88"/>
      <c r="E46" s="88"/>
      <c r="F46" s="88"/>
      <c r="G46" s="88"/>
      <c r="H46" s="88" t="s">
        <v>20</v>
      </c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 t="s">
        <v>21</v>
      </c>
      <c r="T46" s="88"/>
      <c r="U46" s="88"/>
      <c r="V46" s="88"/>
      <c r="W46" s="88" t="s">
        <v>22</v>
      </c>
      <c r="X46" s="88"/>
      <c r="Y46" s="89"/>
      <c r="Z46" s="90" t="s">
        <v>21</v>
      </c>
      <c r="AA46" s="88"/>
      <c r="AB46" s="88"/>
      <c r="AC46" s="88"/>
      <c r="AD46" s="88" t="s">
        <v>23</v>
      </c>
      <c r="AE46" s="88"/>
      <c r="AF46" s="88"/>
      <c r="AG46" s="88"/>
      <c r="AH46" s="89"/>
      <c r="AL46" s="12" t="s">
        <v>19</v>
      </c>
      <c r="AM46" s="12" t="s">
        <v>20</v>
      </c>
      <c r="AN46" s="12" t="s">
        <v>24</v>
      </c>
      <c r="AO46" s="13" t="s">
        <v>25</v>
      </c>
      <c r="AP46" s="14" t="s">
        <v>26</v>
      </c>
      <c r="AR46" s="15" t="s">
        <v>27</v>
      </c>
      <c r="AS46" s="15" t="s">
        <v>28</v>
      </c>
    </row>
    <row r="47" spans="2:45" s="17" customFormat="1" ht="16" customHeight="1" x14ac:dyDescent="0.3">
      <c r="B47" s="16">
        <v>1</v>
      </c>
      <c r="C47" s="46"/>
      <c r="D47" s="47"/>
      <c r="E47" s="47"/>
      <c r="F47" s="47"/>
      <c r="G47" s="48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57"/>
      <c r="T47" s="57"/>
      <c r="U47" s="57"/>
      <c r="V47" s="57"/>
      <c r="W47" s="57"/>
      <c r="X47" s="57"/>
      <c r="Y47" s="58"/>
      <c r="Z47" s="78"/>
      <c r="AA47" s="78"/>
      <c r="AB47" s="78"/>
      <c r="AC47" s="78"/>
      <c r="AD47" s="76"/>
      <c r="AE47" s="76"/>
      <c r="AF47" s="76"/>
      <c r="AG47" s="76"/>
      <c r="AH47" s="77"/>
      <c r="AK47" s="1"/>
      <c r="AL47" s="12"/>
      <c r="AM47" s="12"/>
      <c r="AN47" s="18"/>
      <c r="AO47" s="13"/>
      <c r="AP47" s="19">
        <f>AO47*AN47</f>
        <v>0</v>
      </c>
      <c r="AQ47" s="1"/>
      <c r="AR47" s="23"/>
      <c r="AS47" s="25"/>
    </row>
    <row r="48" spans="2:45" s="17" customFormat="1" ht="16" customHeight="1" x14ac:dyDescent="0.3">
      <c r="B48" s="16">
        <v>2</v>
      </c>
      <c r="C48" s="46"/>
      <c r="D48" s="47"/>
      <c r="E48" s="47"/>
      <c r="F48" s="47"/>
      <c r="G48" s="48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57"/>
      <c r="T48" s="57"/>
      <c r="U48" s="57"/>
      <c r="V48" s="57"/>
      <c r="W48" s="57"/>
      <c r="X48" s="57"/>
      <c r="Y48" s="58"/>
      <c r="Z48" s="78"/>
      <c r="AA48" s="78"/>
      <c r="AB48" s="78"/>
      <c r="AC48" s="78"/>
      <c r="AD48" s="79"/>
      <c r="AE48" s="79"/>
      <c r="AF48" s="79"/>
      <c r="AG48" s="79"/>
      <c r="AH48" s="80"/>
      <c r="AK48" s="1"/>
      <c r="AL48" s="12"/>
      <c r="AM48" s="12"/>
      <c r="AN48" s="18"/>
      <c r="AO48" s="13"/>
      <c r="AP48" s="19">
        <f t="shared" ref="AP48:AP58" si="3">AO48*AN48</f>
        <v>0</v>
      </c>
      <c r="AQ48" s="1"/>
      <c r="AR48" s="23"/>
      <c r="AS48" s="25"/>
    </row>
    <row r="49" spans="1:46" s="17" customFormat="1" ht="16" customHeight="1" x14ac:dyDescent="0.3">
      <c r="B49" s="16">
        <v>3</v>
      </c>
      <c r="C49" s="46"/>
      <c r="D49" s="47"/>
      <c r="E49" s="47"/>
      <c r="F49" s="47"/>
      <c r="G49" s="48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57"/>
      <c r="T49" s="57"/>
      <c r="U49" s="57"/>
      <c r="V49" s="57"/>
      <c r="W49" s="57"/>
      <c r="X49" s="57"/>
      <c r="Y49" s="58"/>
      <c r="Z49" s="78"/>
      <c r="AA49" s="78"/>
      <c r="AB49" s="78"/>
      <c r="AC49" s="78"/>
      <c r="AD49" s="57"/>
      <c r="AE49" s="57"/>
      <c r="AF49" s="57"/>
      <c r="AG49" s="57"/>
      <c r="AH49" s="58"/>
      <c r="AK49" s="1"/>
      <c r="AL49" s="12"/>
      <c r="AM49" s="12"/>
      <c r="AN49" s="18"/>
      <c r="AO49" s="13"/>
      <c r="AP49" s="19">
        <f t="shared" si="3"/>
        <v>0</v>
      </c>
      <c r="AQ49" s="1"/>
      <c r="AR49" s="23"/>
      <c r="AS49" s="25"/>
    </row>
    <row r="50" spans="1:46" s="17" customFormat="1" ht="16" customHeight="1" x14ac:dyDescent="0.3">
      <c r="B50" s="16">
        <v>4</v>
      </c>
      <c r="C50" s="46"/>
      <c r="D50" s="47"/>
      <c r="E50" s="47"/>
      <c r="F50" s="47"/>
      <c r="G50" s="48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57"/>
      <c r="T50" s="57"/>
      <c r="U50" s="57"/>
      <c r="V50" s="57"/>
      <c r="W50" s="57"/>
      <c r="X50" s="57"/>
      <c r="Y50" s="58"/>
      <c r="Z50" s="75"/>
      <c r="AA50" s="75"/>
      <c r="AB50" s="75"/>
      <c r="AC50" s="75"/>
      <c r="AD50" s="76"/>
      <c r="AE50" s="76"/>
      <c r="AF50" s="76"/>
      <c r="AG50" s="76"/>
      <c r="AH50" s="77"/>
      <c r="AK50" s="1"/>
      <c r="AL50" s="12"/>
      <c r="AM50" s="12"/>
      <c r="AN50" s="18"/>
      <c r="AO50" s="13"/>
      <c r="AP50" s="19">
        <f t="shared" si="3"/>
        <v>0</v>
      </c>
      <c r="AQ50" s="1"/>
      <c r="AR50" s="23"/>
      <c r="AS50" s="25"/>
    </row>
    <row r="51" spans="1:46" s="17" customFormat="1" ht="16" customHeight="1" x14ac:dyDescent="0.3">
      <c r="B51" s="16">
        <v>5</v>
      </c>
      <c r="C51" s="46"/>
      <c r="D51" s="47"/>
      <c r="E51" s="47"/>
      <c r="F51" s="47"/>
      <c r="G51" s="48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57"/>
      <c r="T51" s="57"/>
      <c r="U51" s="57"/>
      <c r="V51" s="57"/>
      <c r="W51" s="57"/>
      <c r="X51" s="57"/>
      <c r="Y51" s="58"/>
      <c r="Z51" s="75"/>
      <c r="AA51" s="75"/>
      <c r="AB51" s="75"/>
      <c r="AC51" s="75"/>
      <c r="AD51" s="76"/>
      <c r="AE51" s="76"/>
      <c r="AF51" s="76"/>
      <c r="AG51" s="76"/>
      <c r="AH51" s="77"/>
      <c r="AK51" s="1"/>
      <c r="AL51" s="12"/>
      <c r="AM51" s="12"/>
      <c r="AN51" s="18"/>
      <c r="AO51" s="13"/>
      <c r="AP51" s="19">
        <f t="shared" si="3"/>
        <v>0</v>
      </c>
      <c r="AQ51" s="1"/>
      <c r="AR51" s="23"/>
      <c r="AS51" s="25"/>
    </row>
    <row r="52" spans="1:46" s="17" customFormat="1" ht="16" customHeight="1" x14ac:dyDescent="0.3">
      <c r="B52" s="16">
        <v>6</v>
      </c>
      <c r="C52" s="46"/>
      <c r="D52" s="47"/>
      <c r="E52" s="47"/>
      <c r="F52" s="47"/>
      <c r="G52" s="48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57"/>
      <c r="T52" s="57"/>
      <c r="U52" s="57"/>
      <c r="V52" s="57"/>
      <c r="W52" s="57"/>
      <c r="X52" s="57"/>
      <c r="Y52" s="58"/>
      <c r="Z52" s="75"/>
      <c r="AA52" s="75"/>
      <c r="AB52" s="75"/>
      <c r="AC52" s="75"/>
      <c r="AD52" s="71"/>
      <c r="AE52" s="72"/>
      <c r="AF52" s="72"/>
      <c r="AG52" s="72"/>
      <c r="AH52" s="73"/>
      <c r="AK52" s="1"/>
      <c r="AL52" s="12"/>
      <c r="AM52" s="12"/>
      <c r="AN52" s="18"/>
      <c r="AO52" s="13"/>
      <c r="AP52" s="19">
        <f t="shared" si="3"/>
        <v>0</v>
      </c>
      <c r="AQ52" s="1"/>
      <c r="AR52" s="23"/>
      <c r="AS52" s="25"/>
    </row>
    <row r="53" spans="1:46" s="17" customFormat="1" ht="16" customHeight="1" x14ac:dyDescent="0.3">
      <c r="B53" s="16">
        <v>7</v>
      </c>
      <c r="C53" s="46"/>
      <c r="D53" s="47"/>
      <c r="E53" s="47"/>
      <c r="F53" s="47"/>
      <c r="G53" s="48"/>
      <c r="H53" s="49"/>
      <c r="I53" s="50"/>
      <c r="J53" s="50"/>
      <c r="K53" s="50"/>
      <c r="L53" s="50"/>
      <c r="M53" s="50"/>
      <c r="N53" s="50"/>
      <c r="O53" s="50"/>
      <c r="P53" s="50"/>
      <c r="Q53" s="50"/>
      <c r="R53" s="51"/>
      <c r="S53" s="57"/>
      <c r="T53" s="57"/>
      <c r="U53" s="57"/>
      <c r="V53" s="57"/>
      <c r="W53" s="57"/>
      <c r="X53" s="57"/>
      <c r="Y53" s="58"/>
      <c r="Z53" s="59"/>
      <c r="AA53" s="60"/>
      <c r="AB53" s="60"/>
      <c r="AC53" s="60"/>
      <c r="AD53" s="71"/>
      <c r="AE53" s="72"/>
      <c r="AF53" s="72"/>
      <c r="AG53" s="72"/>
      <c r="AH53" s="73"/>
      <c r="AK53" s="1"/>
      <c r="AL53" s="12"/>
      <c r="AM53" s="12"/>
      <c r="AN53" s="18"/>
      <c r="AO53" s="13"/>
      <c r="AP53" s="19">
        <f t="shared" si="3"/>
        <v>0</v>
      </c>
      <c r="AQ53" s="1"/>
      <c r="AR53" s="23"/>
      <c r="AS53" s="24"/>
    </row>
    <row r="54" spans="1:46" s="17" customFormat="1" ht="16" customHeight="1" x14ac:dyDescent="0.3">
      <c r="A54" s="17">
        <v>15</v>
      </c>
      <c r="B54" s="16">
        <v>8</v>
      </c>
      <c r="C54" s="46"/>
      <c r="D54" s="47"/>
      <c r="E54" s="47"/>
      <c r="F54" s="47"/>
      <c r="G54" s="48"/>
      <c r="H54" s="49"/>
      <c r="I54" s="50"/>
      <c r="J54" s="50"/>
      <c r="K54" s="50"/>
      <c r="L54" s="50"/>
      <c r="M54" s="50"/>
      <c r="N54" s="50"/>
      <c r="O54" s="50"/>
      <c r="P54" s="50"/>
      <c r="Q54" s="50"/>
      <c r="R54" s="51"/>
      <c r="S54" s="57"/>
      <c r="T54" s="57"/>
      <c r="U54" s="57"/>
      <c r="V54" s="57"/>
      <c r="W54" s="57"/>
      <c r="X54" s="57"/>
      <c r="Y54" s="58"/>
      <c r="Z54" s="59"/>
      <c r="AA54" s="60"/>
      <c r="AB54" s="60"/>
      <c r="AC54" s="60"/>
      <c r="AD54" s="60"/>
      <c r="AE54" s="60"/>
      <c r="AF54" s="60"/>
      <c r="AG54" s="60"/>
      <c r="AH54" s="61"/>
      <c r="AK54" s="1"/>
      <c r="AL54" s="12"/>
      <c r="AM54" s="12"/>
      <c r="AN54" s="18"/>
      <c r="AO54" s="13"/>
      <c r="AP54" s="19">
        <f t="shared" si="3"/>
        <v>0</v>
      </c>
      <c r="AQ54" s="1"/>
      <c r="AR54" s="23"/>
      <c r="AS54" s="24"/>
    </row>
    <row r="55" spans="1:46" s="17" customFormat="1" ht="16" customHeight="1" x14ac:dyDescent="0.3">
      <c r="B55" s="16">
        <v>9</v>
      </c>
      <c r="C55" s="46"/>
      <c r="D55" s="47"/>
      <c r="E55" s="47"/>
      <c r="F55" s="47"/>
      <c r="G55" s="48"/>
      <c r="H55" s="49"/>
      <c r="I55" s="50"/>
      <c r="J55" s="50"/>
      <c r="K55" s="50"/>
      <c r="L55" s="50"/>
      <c r="M55" s="50"/>
      <c r="N55" s="50"/>
      <c r="O55" s="50"/>
      <c r="P55" s="50"/>
      <c r="Q55" s="50"/>
      <c r="R55" s="51"/>
      <c r="S55" s="57"/>
      <c r="T55" s="57"/>
      <c r="U55" s="57"/>
      <c r="V55" s="57"/>
      <c r="W55" s="57"/>
      <c r="X55" s="57"/>
      <c r="Y55" s="58"/>
      <c r="Z55" s="59"/>
      <c r="AA55" s="60"/>
      <c r="AB55" s="60"/>
      <c r="AC55" s="60"/>
      <c r="AD55" s="70"/>
      <c r="AE55" s="60"/>
      <c r="AF55" s="60"/>
      <c r="AG55" s="60"/>
      <c r="AH55" s="61"/>
      <c r="AK55" s="1"/>
      <c r="AL55" s="12"/>
      <c r="AM55" s="12"/>
      <c r="AN55" s="18"/>
      <c r="AO55" s="13"/>
      <c r="AP55" s="19">
        <f t="shared" si="3"/>
        <v>0</v>
      </c>
      <c r="AQ55" s="1"/>
      <c r="AR55" s="23"/>
      <c r="AS55" s="24"/>
    </row>
    <row r="56" spans="1:46" s="17" customFormat="1" ht="16" customHeight="1" x14ac:dyDescent="0.3">
      <c r="B56" s="16">
        <v>10</v>
      </c>
      <c r="C56" s="46"/>
      <c r="D56" s="47"/>
      <c r="E56" s="47"/>
      <c r="F56" s="47"/>
      <c r="G56" s="48"/>
      <c r="H56" s="49"/>
      <c r="I56" s="50"/>
      <c r="J56" s="50"/>
      <c r="K56" s="50"/>
      <c r="L56" s="50"/>
      <c r="M56" s="50"/>
      <c r="N56" s="50"/>
      <c r="O56" s="50"/>
      <c r="P56" s="50"/>
      <c r="Q56" s="50"/>
      <c r="R56" s="51"/>
      <c r="S56" s="57"/>
      <c r="T56" s="57"/>
      <c r="U56" s="57"/>
      <c r="V56" s="57"/>
      <c r="W56" s="57"/>
      <c r="X56" s="57"/>
      <c r="Y56" s="58"/>
      <c r="Z56" s="65"/>
      <c r="AA56" s="60"/>
      <c r="AB56" s="60"/>
      <c r="AC56" s="60"/>
      <c r="AD56" s="57"/>
      <c r="AE56" s="57"/>
      <c r="AF56" s="57"/>
      <c r="AG56" s="57"/>
      <c r="AH56" s="58"/>
      <c r="AK56" s="1"/>
      <c r="AL56" s="12"/>
      <c r="AM56" s="12"/>
      <c r="AN56" s="18"/>
      <c r="AO56" s="13"/>
      <c r="AP56" s="19">
        <f t="shared" si="3"/>
        <v>0</v>
      </c>
      <c r="AQ56" s="1"/>
      <c r="AR56" s="23"/>
      <c r="AS56" s="24"/>
    </row>
    <row r="57" spans="1:46" s="17" customFormat="1" ht="16" customHeight="1" x14ac:dyDescent="0.3">
      <c r="B57" s="16">
        <v>11</v>
      </c>
      <c r="C57" s="46"/>
      <c r="D57" s="47"/>
      <c r="E57" s="47"/>
      <c r="F57" s="47"/>
      <c r="G57" s="48"/>
      <c r="H57" s="49"/>
      <c r="I57" s="50"/>
      <c r="J57" s="50"/>
      <c r="K57" s="50"/>
      <c r="L57" s="50"/>
      <c r="M57" s="50"/>
      <c r="N57" s="50"/>
      <c r="O57" s="50"/>
      <c r="P57" s="50"/>
      <c r="Q57" s="50"/>
      <c r="R57" s="51"/>
      <c r="S57" s="57"/>
      <c r="T57" s="57"/>
      <c r="U57" s="57"/>
      <c r="V57" s="57"/>
      <c r="W57" s="57"/>
      <c r="X57" s="57"/>
      <c r="Y57" s="58"/>
      <c r="Z57" s="59"/>
      <c r="AA57" s="60"/>
      <c r="AB57" s="60"/>
      <c r="AC57" s="60"/>
      <c r="AD57" s="57"/>
      <c r="AE57" s="57"/>
      <c r="AF57" s="57"/>
      <c r="AG57" s="57"/>
      <c r="AH57" s="58"/>
      <c r="AK57" s="1"/>
      <c r="AL57" s="12"/>
      <c r="AM57" s="12"/>
      <c r="AN57" s="18"/>
      <c r="AO57" s="13"/>
      <c r="AP57" s="19">
        <f t="shared" si="3"/>
        <v>0</v>
      </c>
      <c r="AQ57" s="1"/>
      <c r="AR57" s="23"/>
      <c r="AS57" s="24"/>
    </row>
    <row r="58" spans="1:46" s="17" customFormat="1" ht="16" customHeight="1" x14ac:dyDescent="0.3">
      <c r="B58" s="16">
        <v>12</v>
      </c>
      <c r="C58" s="46"/>
      <c r="D58" s="47"/>
      <c r="E58" s="47"/>
      <c r="F58" s="47"/>
      <c r="G58" s="48"/>
      <c r="H58" s="49"/>
      <c r="I58" s="50"/>
      <c r="J58" s="50"/>
      <c r="K58" s="50"/>
      <c r="L58" s="50"/>
      <c r="M58" s="50"/>
      <c r="N58" s="50"/>
      <c r="O58" s="50"/>
      <c r="P58" s="50"/>
      <c r="Q58" s="50"/>
      <c r="R58" s="51"/>
      <c r="S58" s="57"/>
      <c r="T58" s="57"/>
      <c r="U58" s="57"/>
      <c r="V58" s="57"/>
      <c r="W58" s="57"/>
      <c r="X58" s="57"/>
      <c r="Y58" s="58"/>
      <c r="Z58" s="68"/>
      <c r="AA58" s="69"/>
      <c r="AB58" s="69"/>
      <c r="AC58" s="69"/>
      <c r="AD58" s="66"/>
      <c r="AE58" s="66"/>
      <c r="AF58" s="66"/>
      <c r="AG58" s="66"/>
      <c r="AH58" s="67"/>
      <c r="AK58" s="1"/>
      <c r="AL58" s="12"/>
      <c r="AM58" s="12"/>
      <c r="AN58" s="18"/>
      <c r="AO58" s="13"/>
      <c r="AP58" s="19">
        <f t="shared" si="3"/>
        <v>0</v>
      </c>
      <c r="AQ58" s="1"/>
      <c r="AR58" s="23"/>
      <c r="AS58" s="24"/>
    </row>
    <row r="59" spans="1:46" s="17" customFormat="1" ht="16" customHeight="1" x14ac:dyDescent="0.3">
      <c r="B59" s="16">
        <v>13</v>
      </c>
      <c r="C59" s="46"/>
      <c r="D59" s="47"/>
      <c r="E59" s="47"/>
      <c r="F59" s="47"/>
      <c r="G59" s="48"/>
      <c r="H59" s="49"/>
      <c r="I59" s="50"/>
      <c r="J59" s="50"/>
      <c r="K59" s="50"/>
      <c r="L59" s="50"/>
      <c r="M59" s="50"/>
      <c r="N59" s="50"/>
      <c r="O59" s="50"/>
      <c r="P59" s="50"/>
      <c r="Q59" s="50"/>
      <c r="R59" s="51"/>
      <c r="S59" s="57"/>
      <c r="T59" s="57"/>
      <c r="U59" s="57"/>
      <c r="V59" s="57"/>
      <c r="W59" s="57"/>
      <c r="X59" s="57"/>
      <c r="Y59" s="58"/>
      <c r="Z59" s="65"/>
      <c r="AA59" s="60"/>
      <c r="AB59" s="60"/>
      <c r="AC59" s="60"/>
      <c r="AD59" s="66"/>
      <c r="AE59" s="66"/>
      <c r="AF59" s="66"/>
      <c r="AG59" s="66"/>
      <c r="AH59" s="67"/>
      <c r="AK59" s="1"/>
      <c r="AL59" s="12"/>
      <c r="AM59" s="12"/>
      <c r="AN59" s="18"/>
      <c r="AO59" s="13"/>
      <c r="AP59" s="19"/>
      <c r="AQ59" s="1"/>
      <c r="AR59" s="23"/>
      <c r="AS59" s="25"/>
    </row>
    <row r="60" spans="1:46" s="17" customFormat="1" ht="16" customHeight="1" x14ac:dyDescent="0.3">
      <c r="B60" s="16">
        <v>14</v>
      </c>
      <c r="C60" s="46"/>
      <c r="D60" s="47"/>
      <c r="E60" s="47"/>
      <c r="F60" s="47"/>
      <c r="G60" s="48"/>
      <c r="H60" s="49"/>
      <c r="I60" s="50"/>
      <c r="J60" s="50"/>
      <c r="K60" s="50"/>
      <c r="L60" s="50"/>
      <c r="M60" s="50"/>
      <c r="N60" s="50"/>
      <c r="O60" s="50"/>
      <c r="P60" s="50"/>
      <c r="Q60" s="50"/>
      <c r="R60" s="51"/>
      <c r="S60" s="57" t="str">
        <f>IFERROR(ROUNDUP(#REF!*#REF!/#REF!,#REF!)-AR60,"")</f>
        <v/>
      </c>
      <c r="T60" s="57"/>
      <c r="U60" s="57"/>
      <c r="V60" s="57"/>
      <c r="W60" s="57"/>
      <c r="X60" s="57"/>
      <c r="Y60" s="58"/>
      <c r="Z60" s="62"/>
      <c r="AA60" s="63"/>
      <c r="AB60" s="63"/>
      <c r="AC60" s="64"/>
      <c r="AD60" s="60"/>
      <c r="AE60" s="60"/>
      <c r="AF60" s="60"/>
      <c r="AG60" s="60"/>
      <c r="AH60" s="61"/>
      <c r="AK60" s="1"/>
      <c r="AL60" s="12"/>
      <c r="AM60" s="12"/>
      <c r="AN60" s="18"/>
      <c r="AO60" s="13"/>
      <c r="AP60" s="19"/>
      <c r="AQ60" s="1"/>
      <c r="AR60" s="23"/>
      <c r="AS60" s="25"/>
    </row>
    <row r="61" spans="1:46" s="17" customFormat="1" ht="16" customHeight="1" x14ac:dyDescent="0.3">
      <c r="B61" s="16">
        <v>15</v>
      </c>
      <c r="C61" s="46"/>
      <c r="D61" s="47"/>
      <c r="E61" s="47"/>
      <c r="F61" s="47"/>
      <c r="G61" s="48"/>
      <c r="H61" s="49"/>
      <c r="I61" s="50"/>
      <c r="J61" s="50"/>
      <c r="K61" s="50"/>
      <c r="L61" s="50"/>
      <c r="M61" s="50"/>
      <c r="N61" s="50"/>
      <c r="O61" s="50"/>
      <c r="P61" s="50"/>
      <c r="Q61" s="50"/>
      <c r="R61" s="51"/>
      <c r="S61" s="57"/>
      <c r="T61" s="57"/>
      <c r="U61" s="57"/>
      <c r="V61" s="57"/>
      <c r="W61" s="57"/>
      <c r="X61" s="57"/>
      <c r="Y61" s="58"/>
      <c r="Z61" s="59"/>
      <c r="AA61" s="60"/>
      <c r="AB61" s="60"/>
      <c r="AC61" s="60"/>
      <c r="AD61" s="60"/>
      <c r="AE61" s="60"/>
      <c r="AF61" s="60"/>
      <c r="AG61" s="60"/>
      <c r="AH61" s="61"/>
      <c r="AK61" s="1"/>
      <c r="AL61" s="12"/>
      <c r="AM61" s="12"/>
      <c r="AN61" s="18"/>
      <c r="AO61" s="13"/>
      <c r="AP61" s="19"/>
      <c r="AQ61" s="1"/>
      <c r="AR61" s="23"/>
      <c r="AS61" s="25"/>
    </row>
    <row r="62" spans="1:46" s="17" customFormat="1" ht="16" customHeight="1" thickBot="1" x14ac:dyDescent="0.35">
      <c r="B62" s="26"/>
      <c r="C62" s="46"/>
      <c r="D62" s="47"/>
      <c r="E62" s="47"/>
      <c r="F62" s="47"/>
      <c r="G62" s="48"/>
      <c r="H62" s="49"/>
      <c r="I62" s="50"/>
      <c r="J62" s="50"/>
      <c r="K62" s="50"/>
      <c r="L62" s="50"/>
      <c r="M62" s="50"/>
      <c r="N62" s="50"/>
      <c r="O62" s="50"/>
      <c r="P62" s="50"/>
      <c r="Q62" s="50"/>
      <c r="R62" s="51"/>
      <c r="S62" s="52"/>
      <c r="T62" s="52"/>
      <c r="U62" s="52"/>
      <c r="V62" s="52"/>
      <c r="W62" s="52"/>
      <c r="X62" s="52"/>
      <c r="Y62" s="53"/>
      <c r="Z62" s="54"/>
      <c r="AA62" s="55"/>
      <c r="AB62" s="55"/>
      <c r="AC62" s="55"/>
      <c r="AD62" s="55"/>
      <c r="AE62" s="55"/>
      <c r="AF62" s="55"/>
      <c r="AG62" s="55"/>
      <c r="AH62" s="56"/>
      <c r="AK62" s="1"/>
      <c r="AL62" s="12" t="s">
        <v>47</v>
      </c>
      <c r="AM62" s="12"/>
      <c r="AN62" s="18"/>
      <c r="AO62" s="19">
        <f>SUM(AO47:AO61)</f>
        <v>0</v>
      </c>
      <c r="AP62" s="19">
        <f>SUM(AP47:AP61)</f>
        <v>0</v>
      </c>
      <c r="AQ62" s="1"/>
      <c r="AR62" s="27"/>
      <c r="AS62" s="28"/>
    </row>
    <row r="63" spans="1:46" s="17" customFormat="1" ht="15" customHeight="1" thickTop="1" thickBot="1" x14ac:dyDescent="0.35">
      <c r="B63" s="39" t="s">
        <v>23</v>
      </c>
      <c r="C63" s="40"/>
      <c r="D63" s="40"/>
      <c r="E63" s="40"/>
      <c r="F63" s="40"/>
      <c r="G63" s="41"/>
      <c r="H63" s="42" t="s">
        <v>48</v>
      </c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4"/>
      <c r="AK63" s="1"/>
      <c r="AL63" s="1"/>
      <c r="AM63" s="1"/>
      <c r="AN63" s="29"/>
      <c r="AO63" s="30"/>
      <c r="AP63" s="30"/>
      <c r="AQ63" s="30"/>
      <c r="AR63" s="30"/>
      <c r="AS63" s="30"/>
      <c r="AT63" s="30"/>
    </row>
    <row r="64" spans="1:46" ht="13.5" thickTop="1" x14ac:dyDescent="0.3">
      <c r="W64" s="45" t="s">
        <v>49</v>
      </c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</row>
  </sheetData>
  <protectedRanges>
    <protectedRange sqref="C12:AH26" name="Range1"/>
    <protectedRange sqref="C47:AH61" name="Range2"/>
    <protectedRange sqref="P7:P8 H7:H8 H42:H43 P42:P43" name="Range3"/>
  </protectedRanges>
  <mergeCells count="262">
    <mergeCell ref="W2:Y2"/>
    <mergeCell ref="Z2:AB2"/>
    <mergeCell ref="AC2:AE2"/>
    <mergeCell ref="AF2:AH2"/>
    <mergeCell ref="W3:Y4"/>
    <mergeCell ref="Z3:AB7"/>
    <mergeCell ref="AC3:AE7"/>
    <mergeCell ref="AF3:AH7"/>
    <mergeCell ref="B4:E4"/>
    <mergeCell ref="F4:K4"/>
    <mergeCell ref="L4:N4"/>
    <mergeCell ref="O4:V4"/>
    <mergeCell ref="B5:D5"/>
    <mergeCell ref="E5:K5"/>
    <mergeCell ref="L5:N5"/>
    <mergeCell ref="O5:V5"/>
    <mergeCell ref="B2:F3"/>
    <mergeCell ref="G2:V3"/>
    <mergeCell ref="B10:Y10"/>
    <mergeCell ref="Z10:AH10"/>
    <mergeCell ref="C11:G11"/>
    <mergeCell ref="H11:R11"/>
    <mergeCell ref="S11:V11"/>
    <mergeCell ref="W11:Y11"/>
    <mergeCell ref="Z11:AC11"/>
    <mergeCell ref="AD11:AH11"/>
    <mergeCell ref="W5:Y7"/>
    <mergeCell ref="B6:E9"/>
    <mergeCell ref="W8:Y9"/>
    <mergeCell ref="Z8:AB9"/>
    <mergeCell ref="AC8:AE9"/>
    <mergeCell ref="AF8:AH9"/>
    <mergeCell ref="C13:G13"/>
    <mergeCell ref="H13:R13"/>
    <mergeCell ref="S13:V13"/>
    <mergeCell ref="W13:Y13"/>
    <mergeCell ref="Z13:AC13"/>
    <mergeCell ref="AD13:AH13"/>
    <mergeCell ref="C12:G12"/>
    <mergeCell ref="H12:R12"/>
    <mergeCell ref="S12:V12"/>
    <mergeCell ref="W12:Y12"/>
    <mergeCell ref="Z12:AC12"/>
    <mergeCell ref="AD12:AH12"/>
    <mergeCell ref="C15:G15"/>
    <mergeCell ref="H15:R15"/>
    <mergeCell ref="S15:V15"/>
    <mergeCell ref="W15:Y15"/>
    <mergeCell ref="Z15:AC15"/>
    <mergeCell ref="AD15:AH15"/>
    <mergeCell ref="C14:G14"/>
    <mergeCell ref="H14:R14"/>
    <mergeCell ref="S14:V14"/>
    <mergeCell ref="W14:Y14"/>
    <mergeCell ref="Z14:AC14"/>
    <mergeCell ref="AD14:AH14"/>
    <mergeCell ref="C17:G17"/>
    <mergeCell ref="H17:R17"/>
    <mergeCell ref="S17:V17"/>
    <mergeCell ref="W17:Y17"/>
    <mergeCell ref="Z17:AC17"/>
    <mergeCell ref="AD17:AH17"/>
    <mergeCell ref="C16:G16"/>
    <mergeCell ref="H16:R16"/>
    <mergeCell ref="S16:V16"/>
    <mergeCell ref="W16:Y16"/>
    <mergeCell ref="Z16:AC16"/>
    <mergeCell ref="AD16:AH16"/>
    <mergeCell ref="C19:G19"/>
    <mergeCell ref="H19:R19"/>
    <mergeCell ref="S19:V19"/>
    <mergeCell ref="W19:Y19"/>
    <mergeCell ref="Z19:AC19"/>
    <mergeCell ref="AD19:AH19"/>
    <mergeCell ref="C18:G18"/>
    <mergeCell ref="H18:R18"/>
    <mergeCell ref="S18:V18"/>
    <mergeCell ref="W18:Y18"/>
    <mergeCell ref="Z18:AC18"/>
    <mergeCell ref="AD18:AH18"/>
    <mergeCell ref="C21:G21"/>
    <mergeCell ref="H21:R21"/>
    <mergeCell ref="S21:V21"/>
    <mergeCell ref="W21:Y21"/>
    <mergeCell ref="Z21:AC21"/>
    <mergeCell ref="AD21:AH21"/>
    <mergeCell ref="C20:G20"/>
    <mergeCell ref="H20:R20"/>
    <mergeCell ref="S20:V20"/>
    <mergeCell ref="W20:Y20"/>
    <mergeCell ref="Z20:AC20"/>
    <mergeCell ref="AD20:AH20"/>
    <mergeCell ref="C23:G23"/>
    <mergeCell ref="H23:R23"/>
    <mergeCell ref="S23:V23"/>
    <mergeCell ref="W23:Y23"/>
    <mergeCell ref="Z23:AC23"/>
    <mergeCell ref="AD23:AH23"/>
    <mergeCell ref="C22:G22"/>
    <mergeCell ref="H22:R22"/>
    <mergeCell ref="S22:V22"/>
    <mergeCell ref="W22:Y22"/>
    <mergeCell ref="Z22:AC22"/>
    <mergeCell ref="AD22:AH22"/>
    <mergeCell ref="C25:G25"/>
    <mergeCell ref="H25:R25"/>
    <mergeCell ref="S25:V25"/>
    <mergeCell ref="W25:Y25"/>
    <mergeCell ref="Z25:AC25"/>
    <mergeCell ref="AD25:AH25"/>
    <mergeCell ref="C24:G24"/>
    <mergeCell ref="H24:R24"/>
    <mergeCell ref="S24:V24"/>
    <mergeCell ref="W24:Y24"/>
    <mergeCell ref="Z24:AC24"/>
    <mergeCell ref="AD24:AH24"/>
    <mergeCell ref="C27:G27"/>
    <mergeCell ref="H27:R27"/>
    <mergeCell ref="S27:V27"/>
    <mergeCell ref="W27:Y27"/>
    <mergeCell ref="Z27:AC27"/>
    <mergeCell ref="AD27:AH27"/>
    <mergeCell ref="C26:G26"/>
    <mergeCell ref="H26:R26"/>
    <mergeCell ref="S26:V26"/>
    <mergeCell ref="W26:Y26"/>
    <mergeCell ref="Z26:AC26"/>
    <mergeCell ref="AD26:AH26"/>
    <mergeCell ref="B28:G28"/>
    <mergeCell ref="H28:AH28"/>
    <mergeCell ref="W29:AH29"/>
    <mergeCell ref="B37:F38"/>
    <mergeCell ref="G37:V38"/>
    <mergeCell ref="W37:Y37"/>
    <mergeCell ref="Z37:AB37"/>
    <mergeCell ref="AC37:AE37"/>
    <mergeCell ref="AF37:AH37"/>
    <mergeCell ref="W38:Y39"/>
    <mergeCell ref="O40:V40"/>
    <mergeCell ref="W40:Y42"/>
    <mergeCell ref="B41:E44"/>
    <mergeCell ref="W43:Y44"/>
    <mergeCell ref="Z43:AB44"/>
    <mergeCell ref="AC43:AE44"/>
    <mergeCell ref="Z38:AB42"/>
    <mergeCell ref="AC38:AE42"/>
    <mergeCell ref="AF38:AH42"/>
    <mergeCell ref="B39:E39"/>
    <mergeCell ref="F39:K39"/>
    <mergeCell ref="L39:N39"/>
    <mergeCell ref="O39:V39"/>
    <mergeCell ref="B40:D40"/>
    <mergeCell ref="E40:K40"/>
    <mergeCell ref="L40:N40"/>
    <mergeCell ref="C47:G47"/>
    <mergeCell ref="H47:R47"/>
    <mergeCell ref="S47:V47"/>
    <mergeCell ref="W47:Y47"/>
    <mergeCell ref="Z47:AC47"/>
    <mergeCell ref="AD47:AH47"/>
    <mergeCell ref="AF43:AH44"/>
    <mergeCell ref="B45:Y45"/>
    <mergeCell ref="Z45:AH45"/>
    <mergeCell ref="C46:G46"/>
    <mergeCell ref="H46:R46"/>
    <mergeCell ref="S46:V46"/>
    <mergeCell ref="W46:Y46"/>
    <mergeCell ref="Z46:AC46"/>
    <mergeCell ref="AD46:AH46"/>
    <mergeCell ref="C49:G49"/>
    <mergeCell ref="H49:R49"/>
    <mergeCell ref="S49:V49"/>
    <mergeCell ref="W49:Y49"/>
    <mergeCell ref="Z49:AC49"/>
    <mergeCell ref="AD49:AH49"/>
    <mergeCell ref="C48:G48"/>
    <mergeCell ref="H48:R48"/>
    <mergeCell ref="S48:V48"/>
    <mergeCell ref="W48:Y48"/>
    <mergeCell ref="Z48:AC48"/>
    <mergeCell ref="AD48:AH48"/>
    <mergeCell ref="C51:G51"/>
    <mergeCell ref="H51:R51"/>
    <mergeCell ref="S51:V51"/>
    <mergeCell ref="W51:Y51"/>
    <mergeCell ref="Z51:AC51"/>
    <mergeCell ref="AD51:AH51"/>
    <mergeCell ref="C50:G50"/>
    <mergeCell ref="H50:R50"/>
    <mergeCell ref="S50:V50"/>
    <mergeCell ref="W50:Y50"/>
    <mergeCell ref="Z50:AC50"/>
    <mergeCell ref="AD50:AH50"/>
    <mergeCell ref="C53:G53"/>
    <mergeCell ref="H53:R53"/>
    <mergeCell ref="S53:V53"/>
    <mergeCell ref="W53:Y53"/>
    <mergeCell ref="Z53:AC53"/>
    <mergeCell ref="AD53:AH53"/>
    <mergeCell ref="C52:G52"/>
    <mergeCell ref="H52:R52"/>
    <mergeCell ref="S52:V52"/>
    <mergeCell ref="W52:Y52"/>
    <mergeCell ref="Z52:AC52"/>
    <mergeCell ref="AD52:AH52"/>
    <mergeCell ref="C55:G55"/>
    <mergeCell ref="H55:R55"/>
    <mergeCell ref="S55:V55"/>
    <mergeCell ref="W55:Y55"/>
    <mergeCell ref="Z55:AC55"/>
    <mergeCell ref="AD55:AH55"/>
    <mergeCell ref="C54:G54"/>
    <mergeCell ref="H54:R54"/>
    <mergeCell ref="S54:V54"/>
    <mergeCell ref="W54:Y54"/>
    <mergeCell ref="Z54:AC54"/>
    <mergeCell ref="AD54:AH54"/>
    <mergeCell ref="C57:G57"/>
    <mergeCell ref="H57:R57"/>
    <mergeCell ref="S57:V57"/>
    <mergeCell ref="W57:Y57"/>
    <mergeCell ref="Z57:AC57"/>
    <mergeCell ref="AD57:AH57"/>
    <mergeCell ref="C56:G56"/>
    <mergeCell ref="H56:R56"/>
    <mergeCell ref="S56:V56"/>
    <mergeCell ref="W56:Y56"/>
    <mergeCell ref="Z56:AC56"/>
    <mergeCell ref="AD56:AH56"/>
    <mergeCell ref="C59:G59"/>
    <mergeCell ref="H59:R59"/>
    <mergeCell ref="S59:V59"/>
    <mergeCell ref="W59:Y59"/>
    <mergeCell ref="Z59:AC59"/>
    <mergeCell ref="AD59:AH59"/>
    <mergeCell ref="C58:G58"/>
    <mergeCell ref="H58:R58"/>
    <mergeCell ref="S58:V58"/>
    <mergeCell ref="W58:Y58"/>
    <mergeCell ref="Z58:AC58"/>
    <mergeCell ref="AD58:AH58"/>
    <mergeCell ref="C61:G61"/>
    <mergeCell ref="H61:R61"/>
    <mergeCell ref="S61:V61"/>
    <mergeCell ref="W61:Y61"/>
    <mergeCell ref="Z61:AC61"/>
    <mergeCell ref="AD61:AH61"/>
    <mergeCell ref="C60:G60"/>
    <mergeCell ref="H60:R60"/>
    <mergeCell ref="S60:V60"/>
    <mergeCell ref="W60:Y60"/>
    <mergeCell ref="Z60:AC60"/>
    <mergeCell ref="AD60:AH60"/>
    <mergeCell ref="B63:G63"/>
    <mergeCell ref="H63:AH63"/>
    <mergeCell ref="W64:AH64"/>
    <mergeCell ref="C62:G62"/>
    <mergeCell ref="H62:R62"/>
    <mergeCell ref="S62:V62"/>
    <mergeCell ref="W62:Y62"/>
    <mergeCell ref="Z62:AC62"/>
    <mergeCell ref="AD62:AH62"/>
  </mergeCells>
  <dataValidations disablePrompts="1" count="1">
    <dataValidation type="list" allowBlank="1" showInputMessage="1" showErrorMessage="1" sqref="P7:P8 H7:H8 H42:H43 P42:P43" xr:uid="{4F25DC65-D2C6-48AE-A805-CA125A4F4949}">
      <formula1>$BZ$2:$BZ$7</formula1>
    </dataValidation>
  </dataValidations>
  <printOptions horizontalCentered="1" verticalCentered="1"/>
  <pageMargins left="0" right="0" top="0" bottom="0" header="0" footer="0"/>
  <pageSetup paperSize="9" scale="95" fitToWidth="0" orientation="portrait" r:id="rId1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FD3C-23D4-455F-8191-760CE449CBB4}">
  <sheetPr codeName="Sheet7">
    <pageSetUpPr fitToPage="1"/>
  </sheetPr>
  <dimension ref="A1:BZ64"/>
  <sheetViews>
    <sheetView view="pageBreakPreview" topLeftCell="B2" zoomScale="130" zoomScaleNormal="90" zoomScaleSheetLayoutView="130" workbookViewId="0">
      <selection activeCell="H15" sqref="H15:R15"/>
    </sheetView>
  </sheetViews>
  <sheetFormatPr defaultColWidth="3" defaultRowHeight="13" x14ac:dyDescent="0.3"/>
  <cols>
    <col min="1" max="1" width="0.81640625" style="1" hidden="1" customWidth="1"/>
    <col min="2" max="14" width="3" style="1"/>
    <col min="15" max="22" width="3" style="1" customWidth="1"/>
    <col min="23" max="23" width="3.54296875" style="1" customWidth="1"/>
    <col min="24" max="24" width="3.81640625" style="1" customWidth="1"/>
    <col min="25" max="25" width="3.54296875" style="1" customWidth="1"/>
    <col min="26" max="33" width="3" style="1"/>
    <col min="34" max="34" width="3" style="1" customWidth="1"/>
    <col min="35" max="35" width="0.81640625" style="1" customWidth="1"/>
    <col min="36" max="36" width="1.453125" style="1" customWidth="1"/>
    <col min="37" max="37" width="1.54296875" style="1" customWidth="1"/>
    <col min="38" max="38" width="12" style="1" hidden="1" customWidth="1"/>
    <col min="39" max="39" width="13.54296875" style="1" hidden="1" customWidth="1"/>
    <col min="40" max="40" width="12.453125" style="1" hidden="1" customWidth="1"/>
    <col min="41" max="41" width="8.453125" style="1" hidden="1" customWidth="1"/>
    <col min="42" max="42" width="9.1796875" style="1" hidden="1" customWidth="1"/>
    <col min="43" max="43" width="2.54296875" style="1" hidden="1" customWidth="1"/>
    <col min="44" max="44" width="9.54296875" style="2" hidden="1" customWidth="1"/>
    <col min="45" max="45" width="12.54296875" style="2" hidden="1" customWidth="1"/>
    <col min="46" max="55" width="3" style="1" hidden="1" customWidth="1"/>
    <col min="56" max="57" width="3" style="1"/>
    <col min="58" max="60" width="3" style="1" hidden="1" customWidth="1"/>
    <col min="61" max="74" width="3" style="1"/>
    <col min="75" max="75" width="3" style="1" customWidth="1"/>
    <col min="76" max="77" width="3" style="1"/>
    <col min="78" max="78" width="0" style="1" hidden="1" customWidth="1"/>
    <col min="79" max="16384" width="3" style="1"/>
  </cols>
  <sheetData>
    <row r="1" spans="2:78" ht="4" hidden="1" customHeight="1" thickBot="1" x14ac:dyDescent="0.35"/>
    <row r="2" spans="2:78" ht="13" customHeight="1" thickTop="1" x14ac:dyDescent="0.3">
      <c r="B2" s="120"/>
      <c r="C2" s="121"/>
      <c r="D2" s="121"/>
      <c r="E2" s="121"/>
      <c r="F2" s="121"/>
      <c r="G2" s="124" t="s">
        <v>0</v>
      </c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60"/>
      <c r="W2" s="128" t="s">
        <v>1</v>
      </c>
      <c r="X2" s="129"/>
      <c r="Y2" s="129"/>
      <c r="Z2" s="129" t="s">
        <v>2</v>
      </c>
      <c r="AA2" s="129"/>
      <c r="AB2" s="129"/>
      <c r="AC2" s="129" t="s">
        <v>3</v>
      </c>
      <c r="AD2" s="129"/>
      <c r="AE2" s="129"/>
      <c r="AF2" s="130" t="s">
        <v>4</v>
      </c>
      <c r="AG2" s="130"/>
      <c r="AH2" s="131"/>
      <c r="BZ2" s="3"/>
    </row>
    <row r="3" spans="2:78" ht="13" customHeight="1" x14ac:dyDescent="0.3">
      <c r="B3" s="122"/>
      <c r="C3" s="123"/>
      <c r="D3" s="123"/>
      <c r="E3" s="123"/>
      <c r="F3" s="123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61"/>
      <c r="W3" s="153"/>
      <c r="X3" s="154"/>
      <c r="Y3" s="155"/>
      <c r="Z3" s="107"/>
      <c r="AA3" s="107"/>
      <c r="AB3" s="107"/>
      <c r="AC3" s="107"/>
      <c r="AD3" s="107"/>
      <c r="AE3" s="107"/>
      <c r="AF3" s="107"/>
      <c r="AG3" s="107"/>
      <c r="AH3" s="108"/>
      <c r="BZ3" s="3" t="s">
        <v>5</v>
      </c>
    </row>
    <row r="4" spans="2:78" ht="14.15" customHeight="1" x14ac:dyDescent="0.3">
      <c r="B4" s="109" t="s">
        <v>6</v>
      </c>
      <c r="C4" s="110"/>
      <c r="D4" s="110"/>
      <c r="E4" s="110"/>
      <c r="F4" s="111"/>
      <c r="G4" s="111"/>
      <c r="H4" s="111"/>
      <c r="I4" s="111"/>
      <c r="J4" s="111"/>
      <c r="K4" s="112"/>
      <c r="L4" s="113" t="s">
        <v>7</v>
      </c>
      <c r="M4" s="110"/>
      <c r="N4" s="114"/>
      <c r="O4" s="156"/>
      <c r="P4" s="157"/>
      <c r="Q4" s="157"/>
      <c r="R4" s="157"/>
      <c r="S4" s="157"/>
      <c r="T4" s="157"/>
      <c r="U4" s="157"/>
      <c r="V4" s="157"/>
      <c r="W4" s="147"/>
      <c r="X4" s="148"/>
      <c r="Y4" s="149"/>
      <c r="Z4" s="107"/>
      <c r="AA4" s="107"/>
      <c r="AB4" s="107"/>
      <c r="AC4" s="107"/>
      <c r="AD4" s="107"/>
      <c r="AE4" s="107"/>
      <c r="AF4" s="107"/>
      <c r="AG4" s="107"/>
      <c r="AH4" s="108"/>
    </row>
    <row r="5" spans="2:78" ht="14.15" customHeight="1" x14ac:dyDescent="0.3">
      <c r="B5" s="117" t="s">
        <v>8</v>
      </c>
      <c r="C5" s="118"/>
      <c r="D5" s="118"/>
      <c r="E5" s="119" t="s">
        <v>9</v>
      </c>
      <c r="F5" s="119"/>
      <c r="G5" s="119"/>
      <c r="H5" s="119"/>
      <c r="I5" s="119"/>
      <c r="J5" s="119"/>
      <c r="K5" s="119"/>
      <c r="L5" s="118" t="s">
        <v>10</v>
      </c>
      <c r="M5" s="118"/>
      <c r="N5" s="118"/>
      <c r="O5" s="158"/>
      <c r="P5" s="158"/>
      <c r="Q5" s="158"/>
      <c r="R5" s="158"/>
      <c r="S5" s="158"/>
      <c r="T5" s="158"/>
      <c r="U5" s="158"/>
      <c r="V5" s="159"/>
      <c r="W5" s="147"/>
      <c r="X5" s="148"/>
      <c r="Y5" s="149"/>
      <c r="Z5" s="107"/>
      <c r="AA5" s="107"/>
      <c r="AB5" s="107"/>
      <c r="AC5" s="107"/>
      <c r="AD5" s="107"/>
      <c r="AE5" s="107"/>
      <c r="AF5" s="107"/>
      <c r="AG5" s="107"/>
      <c r="AH5" s="108"/>
    </row>
    <row r="6" spans="2:78" ht="5.15" customHeight="1" x14ac:dyDescent="0.3">
      <c r="B6" s="99"/>
      <c r="C6" s="100"/>
      <c r="D6" s="100"/>
      <c r="E6" s="100"/>
      <c r="F6" s="4"/>
      <c r="G6" s="4"/>
      <c r="H6" s="4"/>
      <c r="I6" s="4"/>
      <c r="J6" s="4"/>
      <c r="K6" s="4"/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147"/>
      <c r="X6" s="148"/>
      <c r="Y6" s="149"/>
      <c r="Z6" s="107"/>
      <c r="AA6" s="107"/>
      <c r="AB6" s="107"/>
      <c r="AC6" s="107"/>
      <c r="AD6" s="107"/>
      <c r="AE6" s="107"/>
      <c r="AF6" s="107"/>
      <c r="AG6" s="107"/>
      <c r="AH6" s="108"/>
    </row>
    <row r="7" spans="2:78" ht="15.65" customHeight="1" x14ac:dyDescent="0.3">
      <c r="B7" s="101"/>
      <c r="C7" s="102"/>
      <c r="D7" s="102"/>
      <c r="E7" s="102"/>
      <c r="F7" s="7"/>
      <c r="G7" s="7"/>
      <c r="H7" s="8"/>
      <c r="I7" s="7" t="s">
        <v>11</v>
      </c>
      <c r="J7" s="7"/>
      <c r="K7" s="7"/>
      <c r="L7" s="7"/>
      <c r="M7" s="7"/>
      <c r="N7" s="7"/>
      <c r="O7" s="7"/>
      <c r="P7" s="8"/>
      <c r="Q7" s="7" t="s">
        <v>12</v>
      </c>
      <c r="R7" s="7"/>
      <c r="S7" s="7"/>
      <c r="T7" s="7"/>
      <c r="U7" s="7"/>
      <c r="V7" s="7"/>
      <c r="W7" s="150"/>
      <c r="X7" s="151"/>
      <c r="Y7" s="152"/>
      <c r="Z7" s="107"/>
      <c r="AA7" s="107"/>
      <c r="AB7" s="107"/>
      <c r="AC7" s="107"/>
      <c r="AD7" s="107"/>
      <c r="AE7" s="107"/>
      <c r="AF7" s="107"/>
      <c r="AG7" s="107"/>
      <c r="AH7" s="108"/>
    </row>
    <row r="8" spans="2:78" ht="18" customHeight="1" x14ac:dyDescent="0.3">
      <c r="B8" s="101"/>
      <c r="C8" s="102"/>
      <c r="D8" s="102"/>
      <c r="E8" s="102"/>
      <c r="F8" s="7"/>
      <c r="G8" s="7"/>
      <c r="H8" s="8"/>
      <c r="I8" s="7" t="s">
        <v>13</v>
      </c>
      <c r="J8" s="7"/>
      <c r="K8" s="7"/>
      <c r="L8" s="7"/>
      <c r="M8" s="7"/>
      <c r="N8" s="7"/>
      <c r="O8" s="7"/>
      <c r="P8" s="8"/>
      <c r="Q8" s="7" t="s">
        <v>14</v>
      </c>
      <c r="R8" s="7"/>
      <c r="S8" s="7"/>
      <c r="T8" s="7"/>
      <c r="U8" s="7"/>
      <c r="V8" s="7"/>
      <c r="W8" s="105" t="s">
        <v>15</v>
      </c>
      <c r="X8" s="81"/>
      <c r="Y8" s="81"/>
      <c r="Z8" s="81" t="s">
        <v>15</v>
      </c>
      <c r="AA8" s="81"/>
      <c r="AB8" s="81"/>
      <c r="AC8" s="81" t="s">
        <v>15</v>
      </c>
      <c r="AD8" s="81"/>
      <c r="AE8" s="81"/>
      <c r="AF8" s="81" t="s">
        <v>15</v>
      </c>
      <c r="AG8" s="81"/>
      <c r="AH8" s="82"/>
    </row>
    <row r="9" spans="2:78" ht="5.15" customHeight="1" thickBot="1" x14ac:dyDescent="0.35">
      <c r="B9" s="103"/>
      <c r="C9" s="104"/>
      <c r="D9" s="104"/>
      <c r="E9" s="104"/>
      <c r="F9" s="9"/>
      <c r="G9" s="9"/>
      <c r="H9" s="9"/>
      <c r="I9" s="9"/>
      <c r="J9" s="9"/>
      <c r="K9" s="9"/>
      <c r="L9" s="9"/>
      <c r="M9" s="9"/>
      <c r="N9" s="9"/>
      <c r="O9" s="9"/>
      <c r="P9" s="10"/>
      <c r="Q9" s="10"/>
      <c r="R9" s="10"/>
      <c r="S9" s="10"/>
      <c r="T9" s="10"/>
      <c r="U9" s="10"/>
      <c r="V9" s="10"/>
      <c r="W9" s="106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4"/>
    </row>
    <row r="10" spans="2:78" ht="13.5" thickTop="1" x14ac:dyDescent="0.3">
      <c r="B10" s="85" t="s">
        <v>16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7"/>
      <c r="Z10" s="85" t="s">
        <v>17</v>
      </c>
      <c r="AA10" s="86"/>
      <c r="AB10" s="86"/>
      <c r="AC10" s="86"/>
      <c r="AD10" s="86"/>
      <c r="AE10" s="86"/>
      <c r="AF10" s="86"/>
      <c r="AG10" s="86"/>
      <c r="AH10" s="87"/>
      <c r="BE10" s="3"/>
    </row>
    <row r="11" spans="2:78" x14ac:dyDescent="0.3">
      <c r="B11" s="11" t="s">
        <v>18</v>
      </c>
      <c r="C11" s="88" t="s">
        <v>19</v>
      </c>
      <c r="D11" s="88"/>
      <c r="E11" s="88"/>
      <c r="F11" s="88"/>
      <c r="G11" s="88"/>
      <c r="H11" s="88" t="s">
        <v>20</v>
      </c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 t="s">
        <v>21</v>
      </c>
      <c r="T11" s="88"/>
      <c r="U11" s="88"/>
      <c r="V11" s="88"/>
      <c r="W11" s="88" t="s">
        <v>22</v>
      </c>
      <c r="X11" s="88"/>
      <c r="Y11" s="89"/>
      <c r="Z11" s="90" t="s">
        <v>21</v>
      </c>
      <c r="AA11" s="88"/>
      <c r="AB11" s="88"/>
      <c r="AC11" s="88"/>
      <c r="AD11" s="88" t="s">
        <v>23</v>
      </c>
      <c r="AE11" s="88"/>
      <c r="AF11" s="88"/>
      <c r="AG11" s="88"/>
      <c r="AH11" s="89"/>
      <c r="AL11" s="12" t="s">
        <v>19</v>
      </c>
      <c r="AM11" s="12" t="s">
        <v>20</v>
      </c>
      <c r="AN11" s="12" t="s">
        <v>24</v>
      </c>
      <c r="AO11" s="13" t="s">
        <v>25</v>
      </c>
      <c r="AP11" s="14" t="s">
        <v>26</v>
      </c>
      <c r="AR11" s="15" t="s">
        <v>27</v>
      </c>
      <c r="AS11" s="15" t="s">
        <v>28</v>
      </c>
    </row>
    <row r="12" spans="2:78" s="17" customFormat="1" ht="16" customHeight="1" x14ac:dyDescent="0.3">
      <c r="B12" s="16">
        <v>1</v>
      </c>
      <c r="C12" s="57"/>
      <c r="D12" s="57"/>
      <c r="E12" s="57"/>
      <c r="F12" s="57"/>
      <c r="G12" s="57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57"/>
      <c r="T12" s="57"/>
      <c r="U12" s="57"/>
      <c r="V12" s="57"/>
      <c r="W12" s="57"/>
      <c r="X12" s="57"/>
      <c r="Y12" s="58"/>
      <c r="Z12" s="78"/>
      <c r="AA12" s="78"/>
      <c r="AB12" s="78"/>
      <c r="AC12" s="78"/>
      <c r="AD12" s="76"/>
      <c r="AE12" s="76"/>
      <c r="AF12" s="76"/>
      <c r="AG12" s="76"/>
      <c r="AH12" s="77"/>
      <c r="AK12" s="1"/>
      <c r="AL12" s="12" t="s">
        <v>29</v>
      </c>
      <c r="AM12" s="12" t="s">
        <v>30</v>
      </c>
      <c r="AN12" s="18">
        <f>480*1350</f>
        <v>648000</v>
      </c>
      <c r="AO12" s="13">
        <v>2</v>
      </c>
      <c r="AP12" s="19">
        <f>AO12*AN12</f>
        <v>1296000</v>
      </c>
      <c r="AQ12" s="1"/>
      <c r="AR12" s="20"/>
      <c r="AS12" s="21"/>
    </row>
    <row r="13" spans="2:78" s="17" customFormat="1" ht="16" customHeight="1" x14ac:dyDescent="0.3">
      <c r="B13" s="16">
        <v>2</v>
      </c>
      <c r="C13" s="57"/>
      <c r="D13" s="57"/>
      <c r="E13" s="57"/>
      <c r="F13" s="57"/>
      <c r="G13" s="57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57"/>
      <c r="T13" s="57"/>
      <c r="U13" s="57"/>
      <c r="V13" s="57"/>
      <c r="W13" s="57"/>
      <c r="X13" s="57"/>
      <c r="Y13" s="58"/>
      <c r="Z13" s="78"/>
      <c r="AA13" s="78"/>
      <c r="AB13" s="78"/>
      <c r="AC13" s="78"/>
      <c r="AD13" s="79"/>
      <c r="AE13" s="79"/>
      <c r="AF13" s="79"/>
      <c r="AG13" s="79"/>
      <c r="AH13" s="80"/>
      <c r="AK13" s="1"/>
      <c r="AL13" s="12" t="s">
        <v>31</v>
      </c>
      <c r="AM13" s="12" t="s">
        <v>32</v>
      </c>
      <c r="AN13" s="18">
        <f t="shared" ref="AN13:AN15" si="0">480*1350</f>
        <v>648000</v>
      </c>
      <c r="AO13" s="13"/>
      <c r="AP13" s="19">
        <f t="shared" ref="AP13:AP19" si="1">AO13*AN13</f>
        <v>0</v>
      </c>
      <c r="AQ13" s="1"/>
      <c r="AR13" s="20"/>
      <c r="AS13" s="21"/>
    </row>
    <row r="14" spans="2:78" s="17" customFormat="1" ht="16" customHeight="1" x14ac:dyDescent="0.3">
      <c r="B14" s="16">
        <v>3</v>
      </c>
      <c r="C14" s="57"/>
      <c r="D14" s="57"/>
      <c r="E14" s="57"/>
      <c r="F14" s="57"/>
      <c r="G14" s="57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57"/>
      <c r="T14" s="57"/>
      <c r="U14" s="57"/>
      <c r="V14" s="57"/>
      <c r="W14" s="57"/>
      <c r="X14" s="57"/>
      <c r="Y14" s="58"/>
      <c r="Z14" s="78"/>
      <c r="AA14" s="78"/>
      <c r="AB14" s="78"/>
      <c r="AC14" s="78"/>
      <c r="AD14" s="57"/>
      <c r="AE14" s="57"/>
      <c r="AF14" s="57"/>
      <c r="AG14" s="57"/>
      <c r="AH14" s="58"/>
      <c r="AK14" s="1"/>
      <c r="AL14" s="12" t="s">
        <v>33</v>
      </c>
      <c r="AM14" s="12" t="s">
        <v>34</v>
      </c>
      <c r="AN14" s="18">
        <f t="shared" si="0"/>
        <v>648000</v>
      </c>
      <c r="AO14" s="13"/>
      <c r="AP14" s="19">
        <f t="shared" si="1"/>
        <v>0</v>
      </c>
      <c r="AQ14" s="1"/>
      <c r="AR14" s="20"/>
      <c r="AS14" s="21"/>
    </row>
    <row r="15" spans="2:78" s="17" customFormat="1" ht="16" customHeight="1" x14ac:dyDescent="0.3">
      <c r="B15" s="16">
        <v>4</v>
      </c>
      <c r="C15" s="57"/>
      <c r="D15" s="57"/>
      <c r="E15" s="57"/>
      <c r="F15" s="57"/>
      <c r="G15" s="57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57"/>
      <c r="T15" s="57"/>
      <c r="U15" s="57"/>
      <c r="V15" s="57"/>
      <c r="W15" s="57"/>
      <c r="X15" s="57"/>
      <c r="Y15" s="58"/>
      <c r="Z15" s="75"/>
      <c r="AA15" s="75"/>
      <c r="AB15" s="75"/>
      <c r="AC15" s="75"/>
      <c r="AD15" s="76"/>
      <c r="AE15" s="76"/>
      <c r="AF15" s="76"/>
      <c r="AG15" s="76"/>
      <c r="AH15" s="77"/>
      <c r="AK15" s="1"/>
      <c r="AL15" s="12" t="s">
        <v>35</v>
      </c>
      <c r="AM15" s="12" t="s">
        <v>36</v>
      </c>
      <c r="AN15" s="18">
        <f t="shared" si="0"/>
        <v>648000</v>
      </c>
      <c r="AO15" s="13"/>
      <c r="AP15" s="19">
        <f t="shared" si="1"/>
        <v>0</v>
      </c>
      <c r="AQ15" s="1"/>
      <c r="AR15" s="20"/>
      <c r="AS15" s="21"/>
    </row>
    <row r="16" spans="2:78" s="17" customFormat="1" ht="16" customHeight="1" x14ac:dyDescent="0.3">
      <c r="B16" s="16">
        <v>5</v>
      </c>
      <c r="C16" s="57"/>
      <c r="D16" s="57"/>
      <c r="E16" s="57"/>
      <c r="F16" s="57"/>
      <c r="G16" s="57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57"/>
      <c r="T16" s="57"/>
      <c r="U16" s="57"/>
      <c r="V16" s="57"/>
      <c r="W16" s="57"/>
      <c r="X16" s="57"/>
      <c r="Y16" s="58"/>
      <c r="Z16" s="75"/>
      <c r="AA16" s="75"/>
      <c r="AB16" s="75"/>
      <c r="AC16" s="75"/>
      <c r="AD16" s="76"/>
      <c r="AE16" s="76"/>
      <c r="AF16" s="76"/>
      <c r="AG16" s="76"/>
      <c r="AH16" s="77"/>
      <c r="AK16" s="1"/>
      <c r="AL16" s="12" t="s">
        <v>37</v>
      </c>
      <c r="AM16" s="12" t="s">
        <v>38</v>
      </c>
      <c r="AN16" s="18">
        <f>480*3655</f>
        <v>1754400</v>
      </c>
      <c r="AO16" s="13"/>
      <c r="AP16" s="19">
        <f t="shared" si="1"/>
        <v>0</v>
      </c>
      <c r="AQ16" s="1"/>
      <c r="AR16" s="20"/>
      <c r="AS16" s="21"/>
    </row>
    <row r="17" spans="1:46" s="17" customFormat="1" ht="16" customHeight="1" x14ac:dyDescent="0.3">
      <c r="B17" s="16">
        <v>6</v>
      </c>
      <c r="C17" s="57"/>
      <c r="D17" s="57"/>
      <c r="E17" s="57"/>
      <c r="F17" s="57"/>
      <c r="G17" s="57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57"/>
      <c r="T17" s="57"/>
      <c r="U17" s="57"/>
      <c r="V17" s="57"/>
      <c r="W17" s="57"/>
      <c r="X17" s="57"/>
      <c r="Y17" s="58"/>
      <c r="Z17" s="75"/>
      <c r="AA17" s="75"/>
      <c r="AB17" s="75"/>
      <c r="AC17" s="75"/>
      <c r="AD17" s="71"/>
      <c r="AE17" s="72"/>
      <c r="AF17" s="72"/>
      <c r="AG17" s="72"/>
      <c r="AH17" s="73"/>
      <c r="AK17" s="1"/>
      <c r="AL17" s="12" t="s">
        <v>39</v>
      </c>
      <c r="AM17" s="12" t="s">
        <v>40</v>
      </c>
      <c r="AN17" s="18">
        <f>480*682</f>
        <v>327360</v>
      </c>
      <c r="AO17" s="13"/>
      <c r="AP17" s="19">
        <f t="shared" si="1"/>
        <v>0</v>
      </c>
      <c r="AQ17" s="1"/>
      <c r="AR17" s="20"/>
      <c r="AS17" s="21"/>
    </row>
    <row r="18" spans="1:46" s="17" customFormat="1" ht="16" customHeight="1" x14ac:dyDescent="0.3">
      <c r="B18" s="16">
        <v>7</v>
      </c>
      <c r="C18" s="57"/>
      <c r="D18" s="57"/>
      <c r="E18" s="57"/>
      <c r="F18" s="57"/>
      <c r="G18" s="57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57"/>
      <c r="T18" s="57"/>
      <c r="U18" s="57"/>
      <c r="V18" s="57"/>
      <c r="W18" s="57"/>
      <c r="X18" s="57"/>
      <c r="Y18" s="58"/>
      <c r="Z18" s="59"/>
      <c r="AA18" s="60"/>
      <c r="AB18" s="60"/>
      <c r="AC18" s="60"/>
      <c r="AD18" s="71"/>
      <c r="AE18" s="72"/>
      <c r="AF18" s="72"/>
      <c r="AG18" s="72"/>
      <c r="AH18" s="73"/>
      <c r="AK18" s="1"/>
      <c r="AL18" s="12" t="s">
        <v>41</v>
      </c>
      <c r="AM18" s="12" t="s">
        <v>42</v>
      </c>
      <c r="AN18" s="18">
        <f>480*682</f>
        <v>327360</v>
      </c>
      <c r="AO18" s="13"/>
      <c r="AP18" s="19">
        <f t="shared" si="1"/>
        <v>0</v>
      </c>
      <c r="AQ18" s="1"/>
      <c r="AR18" s="20"/>
      <c r="AS18" s="22"/>
    </row>
    <row r="19" spans="1:46" s="17" customFormat="1" ht="16" customHeight="1" x14ac:dyDescent="0.3">
      <c r="A19" s="17">
        <v>15</v>
      </c>
      <c r="B19" s="16">
        <v>8</v>
      </c>
      <c r="C19" s="57"/>
      <c r="D19" s="57"/>
      <c r="E19" s="57"/>
      <c r="F19" s="57"/>
      <c r="G19" s="57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57"/>
      <c r="T19" s="57"/>
      <c r="U19" s="57"/>
      <c r="V19" s="57"/>
      <c r="W19" s="57"/>
      <c r="X19" s="57"/>
      <c r="Y19" s="58"/>
      <c r="Z19" s="59"/>
      <c r="AA19" s="60"/>
      <c r="AB19" s="60"/>
      <c r="AC19" s="60"/>
      <c r="AD19" s="60"/>
      <c r="AE19" s="60"/>
      <c r="AF19" s="60"/>
      <c r="AG19" s="60"/>
      <c r="AH19" s="61"/>
      <c r="AK19" s="1"/>
      <c r="AL19" s="12" t="s">
        <v>43</v>
      </c>
      <c r="AM19" s="12" t="s">
        <v>44</v>
      </c>
      <c r="AN19" s="18">
        <f t="shared" ref="AN19" si="2">480*1350</f>
        <v>648000</v>
      </c>
      <c r="AO19" s="13"/>
      <c r="AP19" s="19">
        <f t="shared" si="1"/>
        <v>0</v>
      </c>
      <c r="AQ19" s="1"/>
      <c r="AR19" s="20"/>
      <c r="AS19" s="22"/>
    </row>
    <row r="20" spans="1:46" s="17" customFormat="1" ht="16" customHeight="1" x14ac:dyDescent="0.3">
      <c r="B20" s="16">
        <v>9</v>
      </c>
      <c r="C20" s="57"/>
      <c r="D20" s="57"/>
      <c r="E20" s="57"/>
      <c r="F20" s="57"/>
      <c r="G20" s="57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57"/>
      <c r="T20" s="57"/>
      <c r="U20" s="57"/>
      <c r="V20" s="57"/>
      <c r="W20" s="57"/>
      <c r="X20" s="57"/>
      <c r="Y20" s="58"/>
      <c r="Z20" s="59"/>
      <c r="AA20" s="60"/>
      <c r="AB20" s="60"/>
      <c r="AC20" s="60"/>
      <c r="AD20" s="70"/>
      <c r="AE20" s="60"/>
      <c r="AF20" s="60"/>
      <c r="AG20" s="60"/>
      <c r="AH20" s="61"/>
      <c r="AK20" s="1"/>
      <c r="AL20" s="12" t="s">
        <v>45</v>
      </c>
      <c r="AM20" s="12"/>
      <c r="AN20" s="18"/>
      <c r="AO20" s="13"/>
      <c r="AP20" s="19"/>
      <c r="AQ20" s="1"/>
      <c r="AR20" s="23">
        <v>3</v>
      </c>
      <c r="AS20" s="24">
        <v>2</v>
      </c>
    </row>
    <row r="21" spans="1:46" s="17" customFormat="1" ht="16" customHeight="1" x14ac:dyDescent="0.3">
      <c r="B21" s="16">
        <v>10</v>
      </c>
      <c r="C21" s="57"/>
      <c r="D21" s="57"/>
      <c r="E21" s="57"/>
      <c r="F21" s="57"/>
      <c r="G21" s="57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57"/>
      <c r="T21" s="57"/>
      <c r="U21" s="57"/>
      <c r="V21" s="57"/>
      <c r="W21" s="57"/>
      <c r="X21" s="57"/>
      <c r="Y21" s="58"/>
      <c r="Z21" s="65"/>
      <c r="AA21" s="60"/>
      <c r="AB21" s="60"/>
      <c r="AC21" s="60"/>
      <c r="AD21" s="57"/>
      <c r="AE21" s="57"/>
      <c r="AF21" s="57"/>
      <c r="AG21" s="57"/>
      <c r="AH21" s="58"/>
      <c r="AK21" s="1"/>
      <c r="AL21" s="12" t="s">
        <v>46</v>
      </c>
      <c r="AM21" s="12"/>
      <c r="AN21" s="18"/>
      <c r="AO21" s="13"/>
      <c r="AP21" s="19"/>
      <c r="AQ21" s="1"/>
      <c r="AR21" s="23">
        <v>3</v>
      </c>
      <c r="AS21" s="24">
        <v>2</v>
      </c>
    </row>
    <row r="22" spans="1:46" s="17" customFormat="1" ht="16" customHeight="1" x14ac:dyDescent="0.3">
      <c r="B22" s="16">
        <v>11</v>
      </c>
      <c r="C22" s="57"/>
      <c r="D22" s="57"/>
      <c r="E22" s="57"/>
      <c r="F22" s="57"/>
      <c r="G22" s="57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57"/>
      <c r="T22" s="57"/>
      <c r="U22" s="57"/>
      <c r="V22" s="57"/>
      <c r="W22" s="57"/>
      <c r="X22" s="57"/>
      <c r="Y22" s="58"/>
      <c r="Z22" s="59"/>
      <c r="AA22" s="60"/>
      <c r="AB22" s="60"/>
      <c r="AC22" s="60"/>
      <c r="AD22" s="57"/>
      <c r="AE22" s="57"/>
      <c r="AF22" s="57"/>
      <c r="AG22" s="57"/>
      <c r="AH22" s="58"/>
      <c r="AK22" s="1"/>
      <c r="AL22" s="12"/>
      <c r="AM22" s="12"/>
      <c r="AN22" s="18"/>
      <c r="AO22" s="13"/>
      <c r="AP22" s="19"/>
      <c r="AQ22" s="1"/>
      <c r="AR22" s="23"/>
      <c r="AS22" s="24"/>
    </row>
    <row r="23" spans="1:46" s="17" customFormat="1" ht="16" customHeight="1" x14ac:dyDescent="0.3">
      <c r="B23" s="16">
        <v>12</v>
      </c>
      <c r="C23" s="57"/>
      <c r="D23" s="57"/>
      <c r="E23" s="57"/>
      <c r="F23" s="57"/>
      <c r="G23" s="57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57"/>
      <c r="T23" s="57"/>
      <c r="U23" s="57"/>
      <c r="V23" s="57"/>
      <c r="W23" s="57"/>
      <c r="X23" s="57"/>
      <c r="Y23" s="58"/>
      <c r="Z23" s="68"/>
      <c r="AA23" s="69"/>
      <c r="AB23" s="69"/>
      <c r="AC23" s="69"/>
      <c r="AD23" s="66"/>
      <c r="AE23" s="66"/>
      <c r="AF23" s="66"/>
      <c r="AG23" s="66"/>
      <c r="AH23" s="67"/>
      <c r="AK23" s="1"/>
      <c r="AL23" s="12"/>
      <c r="AM23" s="12"/>
      <c r="AN23" s="18"/>
      <c r="AO23" s="13"/>
      <c r="AP23" s="19"/>
      <c r="AQ23" s="1"/>
      <c r="AR23" s="23"/>
      <c r="AS23" s="24"/>
    </row>
    <row r="24" spans="1:46" s="17" customFormat="1" ht="16" customHeight="1" x14ac:dyDescent="0.3">
      <c r="B24" s="16">
        <v>13</v>
      </c>
      <c r="C24" s="57"/>
      <c r="D24" s="57"/>
      <c r="E24" s="57"/>
      <c r="F24" s="57"/>
      <c r="G24" s="57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57"/>
      <c r="T24" s="57"/>
      <c r="U24" s="57"/>
      <c r="V24" s="57"/>
      <c r="W24" s="57"/>
      <c r="X24" s="57"/>
      <c r="Y24" s="58"/>
      <c r="Z24" s="65"/>
      <c r="AA24" s="60"/>
      <c r="AB24" s="60"/>
      <c r="AC24" s="60"/>
      <c r="AD24" s="66"/>
      <c r="AE24" s="66"/>
      <c r="AF24" s="66"/>
      <c r="AG24" s="66"/>
      <c r="AH24" s="67"/>
      <c r="AK24" s="1"/>
      <c r="AL24" s="12"/>
      <c r="AM24" s="12"/>
      <c r="AN24" s="18"/>
      <c r="AO24" s="13"/>
      <c r="AP24" s="19"/>
      <c r="AQ24" s="1"/>
      <c r="AR24" s="23"/>
      <c r="AS24" s="25"/>
    </row>
    <row r="25" spans="1:46" s="17" customFormat="1" ht="16" customHeight="1" x14ac:dyDescent="0.3">
      <c r="B25" s="16">
        <v>14</v>
      </c>
      <c r="C25" s="57"/>
      <c r="D25" s="57"/>
      <c r="E25" s="57"/>
      <c r="F25" s="57"/>
      <c r="G25" s="57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57"/>
      <c r="T25" s="57"/>
      <c r="U25" s="57"/>
      <c r="V25" s="57"/>
      <c r="W25" s="57"/>
      <c r="X25" s="57"/>
      <c r="Y25" s="58"/>
      <c r="Z25" s="62"/>
      <c r="AA25" s="63"/>
      <c r="AB25" s="63"/>
      <c r="AC25" s="64"/>
      <c r="AD25" s="60"/>
      <c r="AE25" s="60"/>
      <c r="AF25" s="60"/>
      <c r="AG25" s="60"/>
      <c r="AH25" s="61"/>
      <c r="AK25" s="1"/>
      <c r="AL25" s="12"/>
      <c r="AM25" s="12"/>
      <c r="AN25" s="18"/>
      <c r="AO25" s="13"/>
      <c r="AP25" s="19"/>
      <c r="AQ25" s="1"/>
      <c r="AR25" s="23"/>
      <c r="AS25" s="25"/>
    </row>
    <row r="26" spans="1:46" s="17" customFormat="1" ht="16" customHeight="1" x14ac:dyDescent="0.3">
      <c r="B26" s="16">
        <v>15</v>
      </c>
      <c r="C26" s="57"/>
      <c r="D26" s="57"/>
      <c r="E26" s="57"/>
      <c r="F26" s="57"/>
      <c r="G26" s="57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57"/>
      <c r="T26" s="57"/>
      <c r="U26" s="57"/>
      <c r="V26" s="57"/>
      <c r="W26" s="57"/>
      <c r="X26" s="57"/>
      <c r="Y26" s="58"/>
      <c r="Z26" s="59"/>
      <c r="AA26" s="60"/>
      <c r="AB26" s="60"/>
      <c r="AC26" s="60"/>
      <c r="AD26" s="60"/>
      <c r="AE26" s="60"/>
      <c r="AF26" s="60"/>
      <c r="AG26" s="60"/>
      <c r="AH26" s="61"/>
      <c r="AK26" s="1"/>
      <c r="AL26" s="12"/>
      <c r="AM26" s="12"/>
      <c r="AN26" s="18"/>
      <c r="AO26" s="13"/>
      <c r="AP26" s="19"/>
      <c r="AQ26" s="1"/>
      <c r="AR26" s="23"/>
      <c r="AS26" s="25"/>
    </row>
    <row r="27" spans="1:46" s="17" customFormat="1" ht="16" customHeight="1" thickBot="1" x14ac:dyDescent="0.35">
      <c r="B27" s="26"/>
      <c r="C27" s="135"/>
      <c r="D27" s="136"/>
      <c r="E27" s="136"/>
      <c r="F27" s="136"/>
      <c r="G27" s="137"/>
      <c r="H27" s="138"/>
      <c r="I27" s="139"/>
      <c r="J27" s="139"/>
      <c r="K27" s="139"/>
      <c r="L27" s="139"/>
      <c r="M27" s="139"/>
      <c r="N27" s="139"/>
      <c r="O27" s="139"/>
      <c r="P27" s="139"/>
      <c r="Q27" s="139"/>
      <c r="R27" s="140"/>
      <c r="S27" s="135"/>
      <c r="T27" s="136"/>
      <c r="U27" s="136"/>
      <c r="V27" s="137"/>
      <c r="W27" s="135"/>
      <c r="X27" s="136"/>
      <c r="Y27" s="141"/>
      <c r="Z27" s="142"/>
      <c r="AA27" s="143"/>
      <c r="AB27" s="143"/>
      <c r="AC27" s="144"/>
      <c r="AD27" s="145"/>
      <c r="AE27" s="143"/>
      <c r="AF27" s="143"/>
      <c r="AG27" s="143"/>
      <c r="AH27" s="146"/>
      <c r="AK27" s="1"/>
      <c r="AL27" s="12" t="s">
        <v>47</v>
      </c>
      <c r="AM27" s="12"/>
      <c r="AN27" s="18"/>
      <c r="AO27" s="19">
        <f>SUM(AO12:AO26)</f>
        <v>2</v>
      </c>
      <c r="AP27" s="19">
        <f>SUM(AP12:AP26)</f>
        <v>1296000</v>
      </c>
      <c r="AQ27" s="1"/>
      <c r="AR27" s="27"/>
      <c r="AS27" s="28"/>
    </row>
    <row r="28" spans="1:46" s="17" customFormat="1" ht="15" customHeight="1" thickTop="1" thickBot="1" x14ac:dyDescent="0.35">
      <c r="B28" s="39" t="s">
        <v>23</v>
      </c>
      <c r="C28" s="40"/>
      <c r="D28" s="40"/>
      <c r="E28" s="40"/>
      <c r="F28" s="40"/>
      <c r="G28" s="41"/>
      <c r="H28" s="42" t="s">
        <v>48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4"/>
      <c r="AK28" s="1"/>
      <c r="AL28" s="1"/>
      <c r="AM28" s="1"/>
      <c r="AN28" s="29"/>
      <c r="AO28" s="30"/>
      <c r="AP28" s="30"/>
      <c r="AQ28" s="30"/>
      <c r="AR28" s="30"/>
      <c r="AS28" s="30"/>
      <c r="AT28" s="30"/>
    </row>
    <row r="29" spans="1:46" ht="13.4" customHeight="1" thickTop="1" x14ac:dyDescent="0.3">
      <c r="A29" s="31"/>
      <c r="W29" s="45" t="s">
        <v>49</v>
      </c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31"/>
    </row>
    <row r="30" spans="1:46" ht="8.25" customHeight="1" x14ac:dyDescent="0.3"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spans="1:46" ht="16.399999999999999" hidden="1" customHeight="1" x14ac:dyDescent="0.3"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spans="1:46" ht="13.4" hidden="1" customHeight="1" x14ac:dyDescent="0.3"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spans="2:45" ht="12.75" hidden="1" customHeight="1" x14ac:dyDescent="0.3"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spans="2:45" ht="16.399999999999999" customHeight="1" x14ac:dyDescent="0.3"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spans="2:45" ht="13.4" customHeight="1" thickBot="1" x14ac:dyDescent="0.35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spans="2:45" ht="13.4" hidden="1" customHeight="1" thickBot="1" x14ac:dyDescent="0.3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</row>
    <row r="37" spans="2:45" ht="13" customHeight="1" thickTop="1" x14ac:dyDescent="0.3">
      <c r="B37" s="120"/>
      <c r="C37" s="121"/>
      <c r="D37" s="121"/>
      <c r="E37" s="121"/>
      <c r="F37" s="121"/>
      <c r="G37" s="124" t="s">
        <v>0</v>
      </c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5"/>
      <c r="W37" s="128" t="s">
        <v>1</v>
      </c>
      <c r="X37" s="129"/>
      <c r="Y37" s="129"/>
      <c r="Z37" s="129" t="s">
        <v>2</v>
      </c>
      <c r="AA37" s="129"/>
      <c r="AB37" s="129"/>
      <c r="AC37" s="129" t="s">
        <v>3</v>
      </c>
      <c r="AD37" s="129"/>
      <c r="AE37" s="129"/>
      <c r="AF37" s="130" t="s">
        <v>4</v>
      </c>
      <c r="AG37" s="130"/>
      <c r="AH37" s="131"/>
    </row>
    <row r="38" spans="2:45" ht="13" customHeight="1" x14ac:dyDescent="0.3">
      <c r="B38" s="122"/>
      <c r="C38" s="123"/>
      <c r="D38" s="123"/>
      <c r="E38" s="123"/>
      <c r="F38" s="123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7"/>
      <c r="W38" s="132" t="str">
        <f>IF(W3="","",W3)</f>
        <v/>
      </c>
      <c r="X38" s="133"/>
      <c r="Y38" s="134"/>
      <c r="Z38" s="107"/>
      <c r="AA38" s="107"/>
      <c r="AB38" s="107"/>
      <c r="AC38" s="107"/>
      <c r="AD38" s="107"/>
      <c r="AE38" s="107"/>
      <c r="AF38" s="107"/>
      <c r="AG38" s="107"/>
      <c r="AH38" s="108"/>
    </row>
    <row r="39" spans="2:45" ht="14.15" customHeight="1" x14ac:dyDescent="0.3">
      <c r="B39" s="109" t="s">
        <v>6</v>
      </c>
      <c r="C39" s="110"/>
      <c r="D39" s="110"/>
      <c r="E39" s="110"/>
      <c r="F39" s="111" t="str">
        <f>IF(F4="","",F4)</f>
        <v/>
      </c>
      <c r="G39" s="111"/>
      <c r="H39" s="111"/>
      <c r="I39" s="111"/>
      <c r="J39" s="111"/>
      <c r="K39" s="112"/>
      <c r="L39" s="113" t="s">
        <v>7</v>
      </c>
      <c r="M39" s="110"/>
      <c r="N39" s="114"/>
      <c r="O39" s="115" t="str">
        <f>IF(O4="","",O4)</f>
        <v/>
      </c>
      <c r="P39" s="111"/>
      <c r="Q39" s="111"/>
      <c r="R39" s="111"/>
      <c r="S39" s="111"/>
      <c r="T39" s="111"/>
      <c r="U39" s="111"/>
      <c r="V39" s="116"/>
      <c r="W39" s="93"/>
      <c r="X39" s="94"/>
      <c r="Y39" s="95"/>
      <c r="Z39" s="107"/>
      <c r="AA39" s="107"/>
      <c r="AB39" s="107"/>
      <c r="AC39" s="107"/>
      <c r="AD39" s="107"/>
      <c r="AE39" s="107"/>
      <c r="AF39" s="107"/>
      <c r="AG39" s="107"/>
      <c r="AH39" s="108"/>
    </row>
    <row r="40" spans="2:45" ht="14.15" customHeight="1" x14ac:dyDescent="0.3">
      <c r="B40" s="117" t="s">
        <v>8</v>
      </c>
      <c r="C40" s="118"/>
      <c r="D40" s="118"/>
      <c r="E40" s="119" t="s">
        <v>9</v>
      </c>
      <c r="F40" s="119"/>
      <c r="G40" s="119"/>
      <c r="H40" s="119"/>
      <c r="I40" s="119"/>
      <c r="J40" s="119"/>
      <c r="K40" s="119"/>
      <c r="L40" s="118" t="s">
        <v>10</v>
      </c>
      <c r="M40" s="118"/>
      <c r="N40" s="118"/>
      <c r="O40" s="91" t="str">
        <f>IF(O5="","",O5)</f>
        <v/>
      </c>
      <c r="P40" s="91"/>
      <c r="Q40" s="91"/>
      <c r="R40" s="91"/>
      <c r="S40" s="91"/>
      <c r="T40" s="91"/>
      <c r="U40" s="91"/>
      <c r="V40" s="92"/>
      <c r="W40" s="93" t="str">
        <f>IF(W5="","",W5)</f>
        <v/>
      </c>
      <c r="X40" s="94"/>
      <c r="Y40" s="95"/>
      <c r="Z40" s="107"/>
      <c r="AA40" s="107"/>
      <c r="AB40" s="107"/>
      <c r="AC40" s="107"/>
      <c r="AD40" s="107"/>
      <c r="AE40" s="107"/>
      <c r="AF40" s="107"/>
      <c r="AG40" s="107"/>
      <c r="AH40" s="108"/>
    </row>
    <row r="41" spans="2:45" ht="5.15" customHeight="1" x14ac:dyDescent="0.3">
      <c r="B41" s="99"/>
      <c r="C41" s="100"/>
      <c r="D41" s="100"/>
      <c r="E41" s="100"/>
      <c r="F41" s="4"/>
      <c r="G41" s="4"/>
      <c r="H41" s="4"/>
      <c r="I41" s="4"/>
      <c r="J41" s="4"/>
      <c r="K41" s="4"/>
      <c r="L41" s="5"/>
      <c r="M41" s="5"/>
      <c r="N41" s="5"/>
      <c r="O41" s="6"/>
      <c r="P41" s="6"/>
      <c r="Q41" s="6"/>
      <c r="R41" s="6"/>
      <c r="S41" s="6"/>
      <c r="T41" s="6"/>
      <c r="U41" s="6"/>
      <c r="V41" s="36"/>
      <c r="W41" s="93"/>
      <c r="X41" s="94"/>
      <c r="Y41" s="95"/>
      <c r="Z41" s="107"/>
      <c r="AA41" s="107"/>
      <c r="AB41" s="107"/>
      <c r="AC41" s="107"/>
      <c r="AD41" s="107"/>
      <c r="AE41" s="107"/>
      <c r="AF41" s="107"/>
      <c r="AG41" s="107"/>
      <c r="AH41" s="108"/>
    </row>
    <row r="42" spans="2:45" ht="15.65" customHeight="1" x14ac:dyDescent="0.3">
      <c r="B42" s="101"/>
      <c r="C42" s="102"/>
      <c r="D42" s="102"/>
      <c r="E42" s="102"/>
      <c r="F42" s="7"/>
      <c r="G42" s="7"/>
      <c r="H42" s="8"/>
      <c r="I42" s="7" t="s">
        <v>11</v>
      </c>
      <c r="J42" s="7"/>
      <c r="K42" s="7"/>
      <c r="L42" s="7"/>
      <c r="M42" s="7"/>
      <c r="N42" s="7"/>
      <c r="O42" s="7"/>
      <c r="P42" s="8"/>
      <c r="Q42" s="7" t="s">
        <v>12</v>
      </c>
      <c r="R42" s="7"/>
      <c r="S42" s="7"/>
      <c r="T42" s="7"/>
      <c r="U42" s="7"/>
      <c r="V42" s="37"/>
      <c r="W42" s="96"/>
      <c r="X42" s="97"/>
      <c r="Y42" s="98"/>
      <c r="Z42" s="107"/>
      <c r="AA42" s="107"/>
      <c r="AB42" s="107"/>
      <c r="AC42" s="107"/>
      <c r="AD42" s="107"/>
      <c r="AE42" s="107"/>
      <c r="AF42" s="107"/>
      <c r="AG42" s="107"/>
      <c r="AH42" s="108"/>
    </row>
    <row r="43" spans="2:45" ht="18" customHeight="1" x14ac:dyDescent="0.3">
      <c r="B43" s="101"/>
      <c r="C43" s="102"/>
      <c r="D43" s="102"/>
      <c r="E43" s="102"/>
      <c r="F43" s="7"/>
      <c r="G43" s="7"/>
      <c r="H43" s="8"/>
      <c r="I43" s="7" t="s">
        <v>13</v>
      </c>
      <c r="J43" s="7"/>
      <c r="K43" s="7"/>
      <c r="L43" s="7"/>
      <c r="M43" s="7"/>
      <c r="N43" s="7"/>
      <c r="O43" s="7"/>
      <c r="P43" s="8"/>
      <c r="Q43" s="7" t="s">
        <v>14</v>
      </c>
      <c r="R43" s="7"/>
      <c r="S43" s="7"/>
      <c r="T43" s="7"/>
      <c r="U43" s="7"/>
      <c r="V43" s="37"/>
      <c r="W43" s="105" t="s">
        <v>15</v>
      </c>
      <c r="X43" s="81"/>
      <c r="Y43" s="81"/>
      <c r="Z43" s="81" t="s">
        <v>15</v>
      </c>
      <c r="AA43" s="81"/>
      <c r="AB43" s="81"/>
      <c r="AC43" s="81" t="s">
        <v>15</v>
      </c>
      <c r="AD43" s="81"/>
      <c r="AE43" s="81"/>
      <c r="AF43" s="81" t="s">
        <v>15</v>
      </c>
      <c r="AG43" s="81"/>
      <c r="AH43" s="82"/>
    </row>
    <row r="44" spans="2:45" ht="5.15" customHeight="1" thickBot="1" x14ac:dyDescent="0.35">
      <c r="B44" s="103"/>
      <c r="C44" s="104"/>
      <c r="D44" s="104"/>
      <c r="E44" s="104"/>
      <c r="F44" s="9"/>
      <c r="G44" s="9"/>
      <c r="H44" s="9"/>
      <c r="I44" s="9"/>
      <c r="J44" s="9"/>
      <c r="K44" s="9"/>
      <c r="L44" s="9"/>
      <c r="M44" s="9"/>
      <c r="N44" s="9"/>
      <c r="O44" s="9"/>
      <c r="P44" s="10"/>
      <c r="Q44" s="10"/>
      <c r="R44" s="10"/>
      <c r="S44" s="10"/>
      <c r="T44" s="10"/>
      <c r="U44" s="10"/>
      <c r="V44" s="38"/>
      <c r="W44" s="106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4"/>
    </row>
    <row r="45" spans="2:45" ht="13.5" thickTop="1" x14ac:dyDescent="0.3">
      <c r="B45" s="85" t="s">
        <v>16</v>
      </c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7"/>
      <c r="Z45" s="85" t="s">
        <v>17</v>
      </c>
      <c r="AA45" s="86"/>
      <c r="AB45" s="86"/>
      <c r="AC45" s="86"/>
      <c r="AD45" s="86"/>
      <c r="AE45" s="86"/>
      <c r="AF45" s="86"/>
      <c r="AG45" s="86"/>
      <c r="AH45" s="87"/>
    </row>
    <row r="46" spans="2:45" x14ac:dyDescent="0.3">
      <c r="B46" s="11" t="s">
        <v>18</v>
      </c>
      <c r="C46" s="88" t="s">
        <v>19</v>
      </c>
      <c r="D46" s="88"/>
      <c r="E46" s="88"/>
      <c r="F46" s="88"/>
      <c r="G46" s="88"/>
      <c r="H46" s="88" t="s">
        <v>20</v>
      </c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 t="s">
        <v>21</v>
      </c>
      <c r="T46" s="88"/>
      <c r="U46" s="88"/>
      <c r="V46" s="88"/>
      <c r="W46" s="88" t="s">
        <v>22</v>
      </c>
      <c r="X46" s="88"/>
      <c r="Y46" s="89"/>
      <c r="Z46" s="90" t="s">
        <v>21</v>
      </c>
      <c r="AA46" s="88"/>
      <c r="AB46" s="88"/>
      <c r="AC46" s="88"/>
      <c r="AD46" s="88" t="s">
        <v>23</v>
      </c>
      <c r="AE46" s="88"/>
      <c r="AF46" s="88"/>
      <c r="AG46" s="88"/>
      <c r="AH46" s="89"/>
      <c r="AL46" s="12" t="s">
        <v>19</v>
      </c>
      <c r="AM46" s="12" t="s">
        <v>20</v>
      </c>
      <c r="AN46" s="12" t="s">
        <v>24</v>
      </c>
      <c r="AO46" s="13" t="s">
        <v>25</v>
      </c>
      <c r="AP46" s="14" t="s">
        <v>26</v>
      </c>
      <c r="AR46" s="15" t="s">
        <v>27</v>
      </c>
      <c r="AS46" s="15" t="s">
        <v>28</v>
      </c>
    </row>
    <row r="47" spans="2:45" s="17" customFormat="1" ht="16" customHeight="1" x14ac:dyDescent="0.3">
      <c r="B47" s="16">
        <v>1</v>
      </c>
      <c r="C47" s="46"/>
      <c r="D47" s="47"/>
      <c r="E47" s="47"/>
      <c r="F47" s="47"/>
      <c r="G47" s="48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57"/>
      <c r="T47" s="57"/>
      <c r="U47" s="57"/>
      <c r="V47" s="57"/>
      <c r="W47" s="57"/>
      <c r="X47" s="57"/>
      <c r="Y47" s="58"/>
      <c r="Z47" s="78"/>
      <c r="AA47" s="78"/>
      <c r="AB47" s="78"/>
      <c r="AC47" s="78"/>
      <c r="AD47" s="76"/>
      <c r="AE47" s="76"/>
      <c r="AF47" s="76"/>
      <c r="AG47" s="76"/>
      <c r="AH47" s="77"/>
      <c r="AK47" s="1"/>
      <c r="AL47" s="12"/>
      <c r="AM47" s="12"/>
      <c r="AN47" s="18"/>
      <c r="AO47" s="13"/>
      <c r="AP47" s="19">
        <f>AO47*AN47</f>
        <v>0</v>
      </c>
      <c r="AQ47" s="1"/>
      <c r="AR47" s="23"/>
      <c r="AS47" s="25"/>
    </row>
    <row r="48" spans="2:45" s="17" customFormat="1" ht="16" customHeight="1" x14ac:dyDescent="0.3">
      <c r="B48" s="16">
        <v>2</v>
      </c>
      <c r="C48" s="46"/>
      <c r="D48" s="47"/>
      <c r="E48" s="47"/>
      <c r="F48" s="47"/>
      <c r="G48" s="48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57"/>
      <c r="T48" s="57"/>
      <c r="U48" s="57"/>
      <c r="V48" s="57"/>
      <c r="W48" s="57"/>
      <c r="X48" s="57"/>
      <c r="Y48" s="58"/>
      <c r="Z48" s="78"/>
      <c r="AA48" s="78"/>
      <c r="AB48" s="78"/>
      <c r="AC48" s="78"/>
      <c r="AD48" s="79"/>
      <c r="AE48" s="79"/>
      <c r="AF48" s="79"/>
      <c r="AG48" s="79"/>
      <c r="AH48" s="80"/>
      <c r="AK48" s="1"/>
      <c r="AL48" s="12"/>
      <c r="AM48" s="12"/>
      <c r="AN48" s="18"/>
      <c r="AO48" s="13"/>
      <c r="AP48" s="19">
        <f t="shared" ref="AP48:AP58" si="3">AO48*AN48</f>
        <v>0</v>
      </c>
      <c r="AQ48" s="1"/>
      <c r="AR48" s="23"/>
      <c r="AS48" s="25"/>
    </row>
    <row r="49" spans="1:46" s="17" customFormat="1" ht="16" customHeight="1" x14ac:dyDescent="0.3">
      <c r="B49" s="16">
        <v>3</v>
      </c>
      <c r="C49" s="46"/>
      <c r="D49" s="47"/>
      <c r="E49" s="47"/>
      <c r="F49" s="47"/>
      <c r="G49" s="48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57"/>
      <c r="T49" s="57"/>
      <c r="U49" s="57"/>
      <c r="V49" s="57"/>
      <c r="W49" s="57"/>
      <c r="X49" s="57"/>
      <c r="Y49" s="58"/>
      <c r="Z49" s="78"/>
      <c r="AA49" s="78"/>
      <c r="AB49" s="78"/>
      <c r="AC49" s="78"/>
      <c r="AD49" s="57"/>
      <c r="AE49" s="57"/>
      <c r="AF49" s="57"/>
      <c r="AG49" s="57"/>
      <c r="AH49" s="58"/>
      <c r="AK49" s="1"/>
      <c r="AL49" s="12"/>
      <c r="AM49" s="12"/>
      <c r="AN49" s="18"/>
      <c r="AO49" s="13"/>
      <c r="AP49" s="19">
        <f t="shared" si="3"/>
        <v>0</v>
      </c>
      <c r="AQ49" s="1"/>
      <c r="AR49" s="23"/>
      <c r="AS49" s="25"/>
    </row>
    <row r="50" spans="1:46" s="17" customFormat="1" ht="16" customHeight="1" x14ac:dyDescent="0.3">
      <c r="B50" s="16">
        <v>4</v>
      </c>
      <c r="C50" s="46"/>
      <c r="D50" s="47"/>
      <c r="E50" s="47"/>
      <c r="F50" s="47"/>
      <c r="G50" s="48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57"/>
      <c r="T50" s="57"/>
      <c r="U50" s="57"/>
      <c r="V50" s="57"/>
      <c r="W50" s="57"/>
      <c r="X50" s="57"/>
      <c r="Y50" s="58"/>
      <c r="Z50" s="75"/>
      <c r="AA50" s="75"/>
      <c r="AB50" s="75"/>
      <c r="AC50" s="75"/>
      <c r="AD50" s="76"/>
      <c r="AE50" s="76"/>
      <c r="AF50" s="76"/>
      <c r="AG50" s="76"/>
      <c r="AH50" s="77"/>
      <c r="AK50" s="1"/>
      <c r="AL50" s="12"/>
      <c r="AM50" s="12"/>
      <c r="AN50" s="18"/>
      <c r="AO50" s="13"/>
      <c r="AP50" s="19">
        <f t="shared" si="3"/>
        <v>0</v>
      </c>
      <c r="AQ50" s="1"/>
      <c r="AR50" s="23"/>
      <c r="AS50" s="25"/>
    </row>
    <row r="51" spans="1:46" s="17" customFormat="1" ht="16" customHeight="1" x14ac:dyDescent="0.3">
      <c r="B51" s="16">
        <v>5</v>
      </c>
      <c r="C51" s="46"/>
      <c r="D51" s="47"/>
      <c r="E51" s="47"/>
      <c r="F51" s="47"/>
      <c r="G51" s="48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57"/>
      <c r="T51" s="57"/>
      <c r="U51" s="57"/>
      <c r="V51" s="57"/>
      <c r="W51" s="57"/>
      <c r="X51" s="57"/>
      <c r="Y51" s="58"/>
      <c r="Z51" s="75"/>
      <c r="AA51" s="75"/>
      <c r="AB51" s="75"/>
      <c r="AC51" s="75"/>
      <c r="AD51" s="76"/>
      <c r="AE51" s="76"/>
      <c r="AF51" s="76"/>
      <c r="AG51" s="76"/>
      <c r="AH51" s="77"/>
      <c r="AK51" s="1"/>
      <c r="AL51" s="12"/>
      <c r="AM51" s="12"/>
      <c r="AN51" s="18"/>
      <c r="AO51" s="13"/>
      <c r="AP51" s="19">
        <f t="shared" si="3"/>
        <v>0</v>
      </c>
      <c r="AQ51" s="1"/>
      <c r="AR51" s="23"/>
      <c r="AS51" s="25"/>
    </row>
    <row r="52" spans="1:46" s="17" customFormat="1" ht="16" customHeight="1" x14ac:dyDescent="0.3">
      <c r="B52" s="16">
        <v>6</v>
      </c>
      <c r="C52" s="46"/>
      <c r="D52" s="47"/>
      <c r="E52" s="47"/>
      <c r="F52" s="47"/>
      <c r="G52" s="48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57"/>
      <c r="T52" s="57"/>
      <c r="U52" s="57"/>
      <c r="V52" s="57"/>
      <c r="W52" s="57"/>
      <c r="X52" s="57"/>
      <c r="Y52" s="58"/>
      <c r="Z52" s="75"/>
      <c r="AA52" s="75"/>
      <c r="AB52" s="75"/>
      <c r="AC52" s="75"/>
      <c r="AD52" s="71"/>
      <c r="AE52" s="72"/>
      <c r="AF52" s="72"/>
      <c r="AG52" s="72"/>
      <c r="AH52" s="73"/>
      <c r="AK52" s="1"/>
      <c r="AL52" s="12"/>
      <c r="AM52" s="12"/>
      <c r="AN52" s="18"/>
      <c r="AO52" s="13"/>
      <c r="AP52" s="19">
        <f t="shared" si="3"/>
        <v>0</v>
      </c>
      <c r="AQ52" s="1"/>
      <c r="AR52" s="23"/>
      <c r="AS52" s="25"/>
    </row>
    <row r="53" spans="1:46" s="17" customFormat="1" ht="16" customHeight="1" x14ac:dyDescent="0.3">
      <c r="B53" s="16">
        <v>7</v>
      </c>
      <c r="C53" s="46"/>
      <c r="D53" s="47"/>
      <c r="E53" s="47"/>
      <c r="F53" s="47"/>
      <c r="G53" s="48"/>
      <c r="H53" s="49"/>
      <c r="I53" s="50"/>
      <c r="J53" s="50"/>
      <c r="K53" s="50"/>
      <c r="L53" s="50"/>
      <c r="M53" s="50"/>
      <c r="N53" s="50"/>
      <c r="O53" s="50"/>
      <c r="P53" s="50"/>
      <c r="Q53" s="50"/>
      <c r="R53" s="51"/>
      <c r="S53" s="57"/>
      <c r="T53" s="57"/>
      <c r="U53" s="57"/>
      <c r="V53" s="57"/>
      <c r="W53" s="57"/>
      <c r="X53" s="57"/>
      <c r="Y53" s="58"/>
      <c r="Z53" s="59"/>
      <c r="AA53" s="60"/>
      <c r="AB53" s="60"/>
      <c r="AC53" s="60"/>
      <c r="AD53" s="71"/>
      <c r="AE53" s="72"/>
      <c r="AF53" s="72"/>
      <c r="AG53" s="72"/>
      <c r="AH53" s="73"/>
      <c r="AK53" s="1"/>
      <c r="AL53" s="12"/>
      <c r="AM53" s="12"/>
      <c r="AN53" s="18"/>
      <c r="AO53" s="13"/>
      <c r="AP53" s="19">
        <f t="shared" si="3"/>
        <v>0</v>
      </c>
      <c r="AQ53" s="1"/>
      <c r="AR53" s="23"/>
      <c r="AS53" s="24"/>
    </row>
    <row r="54" spans="1:46" s="17" customFormat="1" ht="16" customHeight="1" x14ac:dyDescent="0.3">
      <c r="A54" s="17">
        <v>15</v>
      </c>
      <c r="B54" s="16">
        <v>8</v>
      </c>
      <c r="C54" s="46"/>
      <c r="D54" s="47"/>
      <c r="E54" s="47"/>
      <c r="F54" s="47"/>
      <c r="G54" s="48"/>
      <c r="H54" s="49"/>
      <c r="I54" s="50"/>
      <c r="J54" s="50"/>
      <c r="K54" s="50"/>
      <c r="L54" s="50"/>
      <c r="M54" s="50"/>
      <c r="N54" s="50"/>
      <c r="O54" s="50"/>
      <c r="P54" s="50"/>
      <c r="Q54" s="50"/>
      <c r="R54" s="51"/>
      <c r="S54" s="57"/>
      <c r="T54" s="57"/>
      <c r="U54" s="57"/>
      <c r="V54" s="57"/>
      <c r="W54" s="57"/>
      <c r="X54" s="57"/>
      <c r="Y54" s="58"/>
      <c r="Z54" s="59"/>
      <c r="AA54" s="60"/>
      <c r="AB54" s="60"/>
      <c r="AC54" s="60"/>
      <c r="AD54" s="60"/>
      <c r="AE54" s="60"/>
      <c r="AF54" s="60"/>
      <c r="AG54" s="60"/>
      <c r="AH54" s="61"/>
      <c r="AK54" s="1"/>
      <c r="AL54" s="12"/>
      <c r="AM54" s="12"/>
      <c r="AN54" s="18"/>
      <c r="AO54" s="13"/>
      <c r="AP54" s="19">
        <f t="shared" si="3"/>
        <v>0</v>
      </c>
      <c r="AQ54" s="1"/>
      <c r="AR54" s="23"/>
      <c r="AS54" s="24"/>
    </row>
    <row r="55" spans="1:46" s="17" customFormat="1" ht="16" customHeight="1" x14ac:dyDescent="0.3">
      <c r="B55" s="16">
        <v>9</v>
      </c>
      <c r="C55" s="46"/>
      <c r="D55" s="47"/>
      <c r="E55" s="47"/>
      <c r="F55" s="47"/>
      <c r="G55" s="48"/>
      <c r="H55" s="49"/>
      <c r="I55" s="50"/>
      <c r="J55" s="50"/>
      <c r="K55" s="50"/>
      <c r="L55" s="50"/>
      <c r="M55" s="50"/>
      <c r="N55" s="50"/>
      <c r="O55" s="50"/>
      <c r="P55" s="50"/>
      <c r="Q55" s="50"/>
      <c r="R55" s="51"/>
      <c r="S55" s="57"/>
      <c r="T55" s="57"/>
      <c r="U55" s="57"/>
      <c r="V55" s="57"/>
      <c r="W55" s="57"/>
      <c r="X55" s="57"/>
      <c r="Y55" s="58"/>
      <c r="Z55" s="59"/>
      <c r="AA55" s="60"/>
      <c r="AB55" s="60"/>
      <c r="AC55" s="60"/>
      <c r="AD55" s="70"/>
      <c r="AE55" s="60"/>
      <c r="AF55" s="60"/>
      <c r="AG55" s="60"/>
      <c r="AH55" s="61"/>
      <c r="AK55" s="1"/>
      <c r="AL55" s="12"/>
      <c r="AM55" s="12"/>
      <c r="AN55" s="18"/>
      <c r="AO55" s="13"/>
      <c r="AP55" s="19">
        <f t="shared" si="3"/>
        <v>0</v>
      </c>
      <c r="AQ55" s="1"/>
      <c r="AR55" s="23"/>
      <c r="AS55" s="24"/>
    </row>
    <row r="56" spans="1:46" s="17" customFormat="1" ht="16" customHeight="1" x14ac:dyDescent="0.3">
      <c r="B56" s="16">
        <v>10</v>
      </c>
      <c r="C56" s="46"/>
      <c r="D56" s="47"/>
      <c r="E56" s="47"/>
      <c r="F56" s="47"/>
      <c r="G56" s="48"/>
      <c r="H56" s="49"/>
      <c r="I56" s="50"/>
      <c r="J56" s="50"/>
      <c r="K56" s="50"/>
      <c r="L56" s="50"/>
      <c r="M56" s="50"/>
      <c r="N56" s="50"/>
      <c r="O56" s="50"/>
      <c r="P56" s="50"/>
      <c r="Q56" s="50"/>
      <c r="R56" s="51"/>
      <c r="S56" s="57"/>
      <c r="T56" s="57"/>
      <c r="U56" s="57"/>
      <c r="V56" s="57"/>
      <c r="W56" s="57"/>
      <c r="X56" s="57"/>
      <c r="Y56" s="58"/>
      <c r="Z56" s="65"/>
      <c r="AA56" s="60"/>
      <c r="AB56" s="60"/>
      <c r="AC56" s="60"/>
      <c r="AD56" s="57"/>
      <c r="AE56" s="57"/>
      <c r="AF56" s="57"/>
      <c r="AG56" s="57"/>
      <c r="AH56" s="58"/>
      <c r="AK56" s="1"/>
      <c r="AL56" s="12"/>
      <c r="AM56" s="12"/>
      <c r="AN56" s="18"/>
      <c r="AO56" s="13"/>
      <c r="AP56" s="19">
        <f t="shared" si="3"/>
        <v>0</v>
      </c>
      <c r="AQ56" s="1"/>
      <c r="AR56" s="23"/>
      <c r="AS56" s="24"/>
    </row>
    <row r="57" spans="1:46" s="17" customFormat="1" ht="16" customHeight="1" x14ac:dyDescent="0.3">
      <c r="B57" s="16">
        <v>11</v>
      </c>
      <c r="C57" s="46"/>
      <c r="D57" s="47"/>
      <c r="E57" s="47"/>
      <c r="F57" s="47"/>
      <c r="G57" s="48"/>
      <c r="H57" s="49"/>
      <c r="I57" s="50"/>
      <c r="J57" s="50"/>
      <c r="K57" s="50"/>
      <c r="L57" s="50"/>
      <c r="M57" s="50"/>
      <c r="N57" s="50"/>
      <c r="O57" s="50"/>
      <c r="P57" s="50"/>
      <c r="Q57" s="50"/>
      <c r="R57" s="51"/>
      <c r="S57" s="57"/>
      <c r="T57" s="57"/>
      <c r="U57" s="57"/>
      <c r="V57" s="57"/>
      <c r="W57" s="57"/>
      <c r="X57" s="57"/>
      <c r="Y57" s="58"/>
      <c r="Z57" s="59"/>
      <c r="AA57" s="60"/>
      <c r="AB57" s="60"/>
      <c r="AC57" s="60"/>
      <c r="AD57" s="57"/>
      <c r="AE57" s="57"/>
      <c r="AF57" s="57"/>
      <c r="AG57" s="57"/>
      <c r="AH57" s="58"/>
      <c r="AK57" s="1"/>
      <c r="AL57" s="12"/>
      <c r="AM57" s="12"/>
      <c r="AN57" s="18"/>
      <c r="AO57" s="13"/>
      <c r="AP57" s="19">
        <f t="shared" si="3"/>
        <v>0</v>
      </c>
      <c r="AQ57" s="1"/>
      <c r="AR57" s="23"/>
      <c r="AS57" s="24"/>
    </row>
    <row r="58" spans="1:46" s="17" customFormat="1" ht="16" customHeight="1" x14ac:dyDescent="0.3">
      <c r="B58" s="16">
        <v>12</v>
      </c>
      <c r="C58" s="46"/>
      <c r="D58" s="47"/>
      <c r="E58" s="47"/>
      <c r="F58" s="47"/>
      <c r="G58" s="48"/>
      <c r="H58" s="49"/>
      <c r="I58" s="50"/>
      <c r="J58" s="50"/>
      <c r="K58" s="50"/>
      <c r="L58" s="50"/>
      <c r="M58" s="50"/>
      <c r="N58" s="50"/>
      <c r="O58" s="50"/>
      <c r="P58" s="50"/>
      <c r="Q58" s="50"/>
      <c r="R58" s="51"/>
      <c r="S58" s="57"/>
      <c r="T58" s="57"/>
      <c r="U58" s="57"/>
      <c r="V58" s="57"/>
      <c r="W58" s="57"/>
      <c r="X58" s="57"/>
      <c r="Y58" s="58"/>
      <c r="Z58" s="68"/>
      <c r="AA58" s="69"/>
      <c r="AB58" s="69"/>
      <c r="AC58" s="69"/>
      <c r="AD58" s="66"/>
      <c r="AE58" s="66"/>
      <c r="AF58" s="66"/>
      <c r="AG58" s="66"/>
      <c r="AH58" s="67"/>
      <c r="AK58" s="1"/>
      <c r="AL58" s="12"/>
      <c r="AM58" s="12"/>
      <c r="AN58" s="18"/>
      <c r="AO58" s="13"/>
      <c r="AP58" s="19">
        <f t="shared" si="3"/>
        <v>0</v>
      </c>
      <c r="AQ58" s="1"/>
      <c r="AR58" s="23"/>
      <c r="AS58" s="24"/>
    </row>
    <row r="59" spans="1:46" s="17" customFormat="1" ht="16" customHeight="1" x14ac:dyDescent="0.3">
      <c r="B59" s="16">
        <v>13</v>
      </c>
      <c r="C59" s="46"/>
      <c r="D59" s="47"/>
      <c r="E59" s="47"/>
      <c r="F59" s="47"/>
      <c r="G59" s="48"/>
      <c r="H59" s="49"/>
      <c r="I59" s="50"/>
      <c r="J59" s="50"/>
      <c r="K59" s="50"/>
      <c r="L59" s="50"/>
      <c r="M59" s="50"/>
      <c r="N59" s="50"/>
      <c r="O59" s="50"/>
      <c r="P59" s="50"/>
      <c r="Q59" s="50"/>
      <c r="R59" s="51"/>
      <c r="S59" s="57"/>
      <c r="T59" s="57"/>
      <c r="U59" s="57"/>
      <c r="V59" s="57"/>
      <c r="W59" s="57"/>
      <c r="X59" s="57"/>
      <c r="Y59" s="58"/>
      <c r="Z59" s="65"/>
      <c r="AA59" s="60"/>
      <c r="AB59" s="60"/>
      <c r="AC59" s="60"/>
      <c r="AD59" s="66"/>
      <c r="AE59" s="66"/>
      <c r="AF59" s="66"/>
      <c r="AG59" s="66"/>
      <c r="AH59" s="67"/>
      <c r="AK59" s="1"/>
      <c r="AL59" s="12"/>
      <c r="AM59" s="12"/>
      <c r="AN59" s="18"/>
      <c r="AO59" s="13"/>
      <c r="AP59" s="19"/>
      <c r="AQ59" s="1"/>
      <c r="AR59" s="23"/>
      <c r="AS59" s="25"/>
    </row>
    <row r="60" spans="1:46" s="17" customFormat="1" ht="16" customHeight="1" x14ac:dyDescent="0.3">
      <c r="B60" s="16">
        <v>14</v>
      </c>
      <c r="C60" s="46"/>
      <c r="D60" s="47"/>
      <c r="E60" s="47"/>
      <c r="F60" s="47"/>
      <c r="G60" s="48"/>
      <c r="H60" s="49"/>
      <c r="I60" s="50"/>
      <c r="J60" s="50"/>
      <c r="K60" s="50"/>
      <c r="L60" s="50"/>
      <c r="M60" s="50"/>
      <c r="N60" s="50"/>
      <c r="O60" s="50"/>
      <c r="P60" s="50"/>
      <c r="Q60" s="50"/>
      <c r="R60" s="51"/>
      <c r="S60" s="57" t="str">
        <f>IFERROR(ROUNDUP(#REF!*#REF!/#REF!,#REF!)-AR60,"")</f>
        <v/>
      </c>
      <c r="T60" s="57"/>
      <c r="U60" s="57"/>
      <c r="V60" s="57"/>
      <c r="W60" s="57"/>
      <c r="X60" s="57"/>
      <c r="Y60" s="58"/>
      <c r="Z60" s="62"/>
      <c r="AA60" s="63"/>
      <c r="AB60" s="63"/>
      <c r="AC60" s="64"/>
      <c r="AD60" s="60"/>
      <c r="AE60" s="60"/>
      <c r="AF60" s="60"/>
      <c r="AG60" s="60"/>
      <c r="AH60" s="61"/>
      <c r="AK60" s="1"/>
      <c r="AL60" s="12"/>
      <c r="AM60" s="12"/>
      <c r="AN60" s="18"/>
      <c r="AO60" s="13"/>
      <c r="AP60" s="19"/>
      <c r="AQ60" s="1"/>
      <c r="AR60" s="23"/>
      <c r="AS60" s="25"/>
    </row>
    <row r="61" spans="1:46" s="17" customFormat="1" ht="16" customHeight="1" x14ac:dyDescent="0.3">
      <c r="B61" s="16">
        <v>15</v>
      </c>
      <c r="C61" s="46"/>
      <c r="D61" s="47"/>
      <c r="E61" s="47"/>
      <c r="F61" s="47"/>
      <c r="G61" s="48"/>
      <c r="H61" s="49"/>
      <c r="I61" s="50"/>
      <c r="J61" s="50"/>
      <c r="K61" s="50"/>
      <c r="L61" s="50"/>
      <c r="M61" s="50"/>
      <c r="N61" s="50"/>
      <c r="O61" s="50"/>
      <c r="P61" s="50"/>
      <c r="Q61" s="50"/>
      <c r="R61" s="51"/>
      <c r="S61" s="57"/>
      <c r="T61" s="57"/>
      <c r="U61" s="57"/>
      <c r="V61" s="57"/>
      <c r="W61" s="57"/>
      <c r="X61" s="57"/>
      <c r="Y61" s="58"/>
      <c r="Z61" s="59"/>
      <c r="AA61" s="60"/>
      <c r="AB61" s="60"/>
      <c r="AC61" s="60"/>
      <c r="AD61" s="60"/>
      <c r="AE61" s="60"/>
      <c r="AF61" s="60"/>
      <c r="AG61" s="60"/>
      <c r="AH61" s="61"/>
      <c r="AK61" s="1"/>
      <c r="AL61" s="12"/>
      <c r="AM61" s="12"/>
      <c r="AN61" s="18"/>
      <c r="AO61" s="13"/>
      <c r="AP61" s="19"/>
      <c r="AQ61" s="1"/>
      <c r="AR61" s="23"/>
      <c r="AS61" s="25"/>
    </row>
    <row r="62" spans="1:46" s="17" customFormat="1" ht="16" customHeight="1" thickBot="1" x14ac:dyDescent="0.35">
      <c r="B62" s="26"/>
      <c r="C62" s="46"/>
      <c r="D62" s="47"/>
      <c r="E62" s="47"/>
      <c r="F62" s="47"/>
      <c r="G62" s="48"/>
      <c r="H62" s="49"/>
      <c r="I62" s="50"/>
      <c r="J62" s="50"/>
      <c r="K62" s="50"/>
      <c r="L62" s="50"/>
      <c r="M62" s="50"/>
      <c r="N62" s="50"/>
      <c r="O62" s="50"/>
      <c r="P62" s="50"/>
      <c r="Q62" s="50"/>
      <c r="R62" s="51"/>
      <c r="S62" s="52"/>
      <c r="T62" s="52"/>
      <c r="U62" s="52"/>
      <c r="V62" s="52"/>
      <c r="W62" s="52"/>
      <c r="X62" s="52"/>
      <c r="Y62" s="53"/>
      <c r="Z62" s="54"/>
      <c r="AA62" s="55"/>
      <c r="AB62" s="55"/>
      <c r="AC62" s="55"/>
      <c r="AD62" s="55"/>
      <c r="AE62" s="55"/>
      <c r="AF62" s="55"/>
      <c r="AG62" s="55"/>
      <c r="AH62" s="56"/>
      <c r="AK62" s="1"/>
      <c r="AL62" s="12" t="s">
        <v>47</v>
      </c>
      <c r="AM62" s="12"/>
      <c r="AN62" s="18"/>
      <c r="AO62" s="19">
        <f>SUM(AO47:AO61)</f>
        <v>0</v>
      </c>
      <c r="AP62" s="19">
        <f>SUM(AP47:AP61)</f>
        <v>0</v>
      </c>
      <c r="AQ62" s="1"/>
      <c r="AR62" s="27"/>
      <c r="AS62" s="28"/>
    </row>
    <row r="63" spans="1:46" s="17" customFormat="1" ht="15" customHeight="1" thickTop="1" thickBot="1" x14ac:dyDescent="0.35">
      <c r="B63" s="39" t="s">
        <v>23</v>
      </c>
      <c r="C63" s="40"/>
      <c r="D63" s="40"/>
      <c r="E63" s="40"/>
      <c r="F63" s="40"/>
      <c r="G63" s="41"/>
      <c r="H63" s="42" t="s">
        <v>48</v>
      </c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4"/>
      <c r="AK63" s="1"/>
      <c r="AL63" s="1"/>
      <c r="AM63" s="1"/>
      <c r="AN63" s="29"/>
      <c r="AO63" s="30"/>
      <c r="AP63" s="30"/>
      <c r="AQ63" s="30"/>
      <c r="AR63" s="30"/>
      <c r="AS63" s="30"/>
      <c r="AT63" s="30"/>
    </row>
    <row r="64" spans="1:46" ht="13.5" thickTop="1" x14ac:dyDescent="0.3">
      <c r="W64" s="45" t="s">
        <v>49</v>
      </c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</row>
  </sheetData>
  <protectedRanges>
    <protectedRange sqref="C12:AH26" name="Range1"/>
    <protectedRange sqref="C47:AH61" name="Range2"/>
    <protectedRange sqref="P7:P8 H7:H8 H42:H43 P42:P43" name="Range3"/>
  </protectedRanges>
  <mergeCells count="262">
    <mergeCell ref="W2:Y2"/>
    <mergeCell ref="Z2:AB2"/>
    <mergeCell ref="AC2:AE2"/>
    <mergeCell ref="AF2:AH2"/>
    <mergeCell ref="W3:Y4"/>
    <mergeCell ref="Z3:AB7"/>
    <mergeCell ref="AC3:AE7"/>
    <mergeCell ref="AF3:AH7"/>
    <mergeCell ref="B4:E4"/>
    <mergeCell ref="F4:K4"/>
    <mergeCell ref="L4:N4"/>
    <mergeCell ref="O4:V4"/>
    <mergeCell ref="B5:D5"/>
    <mergeCell ref="E5:K5"/>
    <mergeCell ref="L5:N5"/>
    <mergeCell ref="O5:V5"/>
    <mergeCell ref="B2:F3"/>
    <mergeCell ref="G2:V3"/>
    <mergeCell ref="B10:Y10"/>
    <mergeCell ref="Z10:AH10"/>
    <mergeCell ref="C11:G11"/>
    <mergeCell ref="H11:R11"/>
    <mergeCell ref="S11:V11"/>
    <mergeCell ref="W11:Y11"/>
    <mergeCell ref="Z11:AC11"/>
    <mergeCell ref="AD11:AH11"/>
    <mergeCell ref="W5:Y7"/>
    <mergeCell ref="B6:E9"/>
    <mergeCell ref="W8:Y9"/>
    <mergeCell ref="Z8:AB9"/>
    <mergeCell ref="AC8:AE9"/>
    <mergeCell ref="AF8:AH9"/>
    <mergeCell ref="C13:G13"/>
    <mergeCell ref="H13:R13"/>
    <mergeCell ref="S13:V13"/>
    <mergeCell ref="W13:Y13"/>
    <mergeCell ref="Z13:AC13"/>
    <mergeCell ref="AD13:AH13"/>
    <mergeCell ref="C12:G12"/>
    <mergeCell ref="H12:R12"/>
    <mergeCell ref="S12:V12"/>
    <mergeCell ref="W12:Y12"/>
    <mergeCell ref="Z12:AC12"/>
    <mergeCell ref="AD12:AH12"/>
    <mergeCell ref="C15:G15"/>
    <mergeCell ref="H15:R15"/>
    <mergeCell ref="S15:V15"/>
    <mergeCell ref="W15:Y15"/>
    <mergeCell ref="Z15:AC15"/>
    <mergeCell ref="AD15:AH15"/>
    <mergeCell ref="C14:G14"/>
    <mergeCell ref="H14:R14"/>
    <mergeCell ref="S14:V14"/>
    <mergeCell ref="W14:Y14"/>
    <mergeCell ref="Z14:AC14"/>
    <mergeCell ref="AD14:AH14"/>
    <mergeCell ref="C17:G17"/>
    <mergeCell ref="H17:R17"/>
    <mergeCell ref="S17:V17"/>
    <mergeCell ref="W17:Y17"/>
    <mergeCell ref="Z17:AC17"/>
    <mergeCell ref="AD17:AH17"/>
    <mergeCell ref="C16:G16"/>
    <mergeCell ref="H16:R16"/>
    <mergeCell ref="S16:V16"/>
    <mergeCell ref="W16:Y16"/>
    <mergeCell ref="Z16:AC16"/>
    <mergeCell ref="AD16:AH16"/>
    <mergeCell ref="C19:G19"/>
    <mergeCell ref="H19:R19"/>
    <mergeCell ref="S19:V19"/>
    <mergeCell ref="W19:Y19"/>
    <mergeCell ref="Z19:AC19"/>
    <mergeCell ref="AD19:AH19"/>
    <mergeCell ref="C18:G18"/>
    <mergeCell ref="H18:R18"/>
    <mergeCell ref="S18:V18"/>
    <mergeCell ref="W18:Y18"/>
    <mergeCell ref="Z18:AC18"/>
    <mergeCell ref="AD18:AH18"/>
    <mergeCell ref="C21:G21"/>
    <mergeCell ref="H21:R21"/>
    <mergeCell ref="S21:V21"/>
    <mergeCell ref="W21:Y21"/>
    <mergeCell ref="Z21:AC21"/>
    <mergeCell ref="AD21:AH21"/>
    <mergeCell ref="C20:G20"/>
    <mergeCell ref="H20:R20"/>
    <mergeCell ref="S20:V20"/>
    <mergeCell ref="W20:Y20"/>
    <mergeCell ref="Z20:AC20"/>
    <mergeCell ref="AD20:AH20"/>
    <mergeCell ref="C23:G23"/>
    <mergeCell ref="H23:R23"/>
    <mergeCell ref="S23:V23"/>
    <mergeCell ref="W23:Y23"/>
    <mergeCell ref="Z23:AC23"/>
    <mergeCell ref="AD23:AH23"/>
    <mergeCell ref="C22:G22"/>
    <mergeCell ref="H22:R22"/>
    <mergeCell ref="S22:V22"/>
    <mergeCell ref="W22:Y22"/>
    <mergeCell ref="Z22:AC22"/>
    <mergeCell ref="AD22:AH22"/>
    <mergeCell ref="C25:G25"/>
    <mergeCell ref="H25:R25"/>
    <mergeCell ref="S25:V25"/>
    <mergeCell ref="W25:Y25"/>
    <mergeCell ref="Z25:AC25"/>
    <mergeCell ref="AD25:AH25"/>
    <mergeCell ref="C24:G24"/>
    <mergeCell ref="H24:R24"/>
    <mergeCell ref="S24:V24"/>
    <mergeCell ref="W24:Y24"/>
    <mergeCell ref="Z24:AC24"/>
    <mergeCell ref="AD24:AH24"/>
    <mergeCell ref="C27:G27"/>
    <mergeCell ref="H27:R27"/>
    <mergeCell ref="S27:V27"/>
    <mergeCell ref="W27:Y27"/>
    <mergeCell ref="Z27:AC27"/>
    <mergeCell ref="AD27:AH27"/>
    <mergeCell ref="C26:G26"/>
    <mergeCell ref="H26:R26"/>
    <mergeCell ref="S26:V26"/>
    <mergeCell ref="W26:Y26"/>
    <mergeCell ref="Z26:AC26"/>
    <mergeCell ref="AD26:AH26"/>
    <mergeCell ref="B28:G28"/>
    <mergeCell ref="H28:AH28"/>
    <mergeCell ref="W29:AH29"/>
    <mergeCell ref="B37:F38"/>
    <mergeCell ref="G37:V38"/>
    <mergeCell ref="W37:Y37"/>
    <mergeCell ref="Z37:AB37"/>
    <mergeCell ref="AC37:AE37"/>
    <mergeCell ref="AF37:AH37"/>
    <mergeCell ref="W38:Y39"/>
    <mergeCell ref="O40:V40"/>
    <mergeCell ref="W40:Y42"/>
    <mergeCell ref="B41:E44"/>
    <mergeCell ref="W43:Y44"/>
    <mergeCell ref="Z43:AB44"/>
    <mergeCell ref="AC43:AE44"/>
    <mergeCell ref="Z38:AB42"/>
    <mergeCell ref="AC38:AE42"/>
    <mergeCell ref="AF38:AH42"/>
    <mergeCell ref="B39:E39"/>
    <mergeCell ref="F39:K39"/>
    <mergeCell ref="L39:N39"/>
    <mergeCell ref="O39:V39"/>
    <mergeCell ref="B40:D40"/>
    <mergeCell ref="E40:K40"/>
    <mergeCell ref="L40:N40"/>
    <mergeCell ref="C47:G47"/>
    <mergeCell ref="H47:R47"/>
    <mergeCell ref="S47:V47"/>
    <mergeCell ref="W47:Y47"/>
    <mergeCell ref="Z47:AC47"/>
    <mergeCell ref="AD47:AH47"/>
    <mergeCell ref="AF43:AH44"/>
    <mergeCell ref="B45:Y45"/>
    <mergeCell ref="Z45:AH45"/>
    <mergeCell ref="C46:G46"/>
    <mergeCell ref="H46:R46"/>
    <mergeCell ref="S46:V46"/>
    <mergeCell ref="W46:Y46"/>
    <mergeCell ref="Z46:AC46"/>
    <mergeCell ref="AD46:AH46"/>
    <mergeCell ref="C49:G49"/>
    <mergeCell ref="H49:R49"/>
    <mergeCell ref="S49:V49"/>
    <mergeCell ref="W49:Y49"/>
    <mergeCell ref="Z49:AC49"/>
    <mergeCell ref="AD49:AH49"/>
    <mergeCell ref="C48:G48"/>
    <mergeCell ref="H48:R48"/>
    <mergeCell ref="S48:V48"/>
    <mergeCell ref="W48:Y48"/>
    <mergeCell ref="Z48:AC48"/>
    <mergeCell ref="AD48:AH48"/>
    <mergeCell ref="C51:G51"/>
    <mergeCell ref="H51:R51"/>
    <mergeCell ref="S51:V51"/>
    <mergeCell ref="W51:Y51"/>
    <mergeCell ref="Z51:AC51"/>
    <mergeCell ref="AD51:AH51"/>
    <mergeCell ref="C50:G50"/>
    <mergeCell ref="H50:R50"/>
    <mergeCell ref="S50:V50"/>
    <mergeCell ref="W50:Y50"/>
    <mergeCell ref="Z50:AC50"/>
    <mergeCell ref="AD50:AH50"/>
    <mergeCell ref="C53:G53"/>
    <mergeCell ref="H53:R53"/>
    <mergeCell ref="S53:V53"/>
    <mergeCell ref="W53:Y53"/>
    <mergeCell ref="Z53:AC53"/>
    <mergeCell ref="AD53:AH53"/>
    <mergeCell ref="C52:G52"/>
    <mergeCell ref="H52:R52"/>
    <mergeCell ref="S52:V52"/>
    <mergeCell ref="W52:Y52"/>
    <mergeCell ref="Z52:AC52"/>
    <mergeCell ref="AD52:AH52"/>
    <mergeCell ref="C55:G55"/>
    <mergeCell ref="H55:R55"/>
    <mergeCell ref="S55:V55"/>
    <mergeCell ref="W55:Y55"/>
    <mergeCell ref="Z55:AC55"/>
    <mergeCell ref="AD55:AH55"/>
    <mergeCell ref="C54:G54"/>
    <mergeCell ref="H54:R54"/>
    <mergeCell ref="S54:V54"/>
    <mergeCell ref="W54:Y54"/>
    <mergeCell ref="Z54:AC54"/>
    <mergeCell ref="AD54:AH54"/>
    <mergeCell ref="C57:G57"/>
    <mergeCell ref="H57:R57"/>
    <mergeCell ref="S57:V57"/>
    <mergeCell ref="W57:Y57"/>
    <mergeCell ref="Z57:AC57"/>
    <mergeCell ref="AD57:AH57"/>
    <mergeCell ref="C56:G56"/>
    <mergeCell ref="H56:R56"/>
    <mergeCell ref="S56:V56"/>
    <mergeCell ref="W56:Y56"/>
    <mergeCell ref="Z56:AC56"/>
    <mergeCell ref="AD56:AH56"/>
    <mergeCell ref="C59:G59"/>
    <mergeCell ref="H59:R59"/>
    <mergeCell ref="S59:V59"/>
    <mergeCell ref="W59:Y59"/>
    <mergeCell ref="Z59:AC59"/>
    <mergeCell ref="AD59:AH59"/>
    <mergeCell ref="C58:G58"/>
    <mergeCell ref="H58:R58"/>
    <mergeCell ref="S58:V58"/>
    <mergeCell ref="W58:Y58"/>
    <mergeCell ref="Z58:AC58"/>
    <mergeCell ref="AD58:AH58"/>
    <mergeCell ref="C61:G61"/>
    <mergeCell ref="H61:R61"/>
    <mergeCell ref="S61:V61"/>
    <mergeCell ref="W61:Y61"/>
    <mergeCell ref="Z61:AC61"/>
    <mergeCell ref="AD61:AH61"/>
    <mergeCell ref="C60:G60"/>
    <mergeCell ref="H60:R60"/>
    <mergeCell ref="S60:V60"/>
    <mergeCell ref="W60:Y60"/>
    <mergeCell ref="Z60:AC60"/>
    <mergeCell ref="AD60:AH60"/>
    <mergeCell ref="B63:G63"/>
    <mergeCell ref="H63:AH63"/>
    <mergeCell ref="W64:AH64"/>
    <mergeCell ref="C62:G62"/>
    <mergeCell ref="H62:R62"/>
    <mergeCell ref="S62:V62"/>
    <mergeCell ref="W62:Y62"/>
    <mergeCell ref="Z62:AC62"/>
    <mergeCell ref="AD62:AH62"/>
  </mergeCells>
  <dataValidations count="1">
    <dataValidation type="list" allowBlank="1" showInputMessage="1" showErrorMessage="1" sqref="P7:P8 H7:H8 H42:H43 P42:P43" xr:uid="{6F3A3CEC-117A-4705-B980-4A501EDC3F75}">
      <formula1>$BZ$2:$BZ$7</formula1>
    </dataValidation>
  </dataValidations>
  <printOptions horizontalCentered="1" verticalCentered="1"/>
  <pageMargins left="0" right="0" top="0" bottom="0" header="0" footer="0"/>
  <pageSetup paperSize="9" scale="95" fitToWidth="0" orientation="portrait" r:id="rId1"/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D2C8-5FFF-48CC-B83B-7398906A68C6}">
  <sheetPr codeName="Sheet8">
    <pageSetUpPr fitToPage="1"/>
  </sheetPr>
  <dimension ref="A1:BZ64"/>
  <sheetViews>
    <sheetView view="pageBreakPreview" topLeftCell="B2" zoomScale="130" zoomScaleNormal="90" zoomScaleSheetLayoutView="130" workbookViewId="0">
      <selection activeCell="H23" sqref="H23:R23"/>
    </sheetView>
  </sheetViews>
  <sheetFormatPr defaultColWidth="3" defaultRowHeight="13" x14ac:dyDescent="0.3"/>
  <cols>
    <col min="1" max="1" width="0.81640625" style="1" hidden="1" customWidth="1"/>
    <col min="2" max="14" width="3" style="1"/>
    <col min="15" max="22" width="3" style="1" customWidth="1"/>
    <col min="23" max="23" width="3.54296875" style="1" customWidth="1"/>
    <col min="24" max="24" width="3.81640625" style="1" customWidth="1"/>
    <col min="25" max="25" width="3.54296875" style="1" customWidth="1"/>
    <col min="26" max="33" width="3" style="1"/>
    <col min="34" max="34" width="3" style="1" customWidth="1"/>
    <col min="35" max="35" width="0.81640625" style="1" customWidth="1"/>
    <col min="36" max="36" width="1.453125" style="1" customWidth="1"/>
    <col min="37" max="37" width="1.54296875" style="1" customWidth="1"/>
    <col min="38" max="38" width="12" style="1" hidden="1" customWidth="1"/>
    <col min="39" max="39" width="13.54296875" style="1" hidden="1" customWidth="1"/>
    <col min="40" max="40" width="12.453125" style="1" hidden="1" customWidth="1"/>
    <col min="41" max="41" width="8.453125" style="1" hidden="1" customWidth="1"/>
    <col min="42" max="42" width="9.1796875" style="1" hidden="1" customWidth="1"/>
    <col min="43" max="43" width="2.54296875" style="1" hidden="1" customWidth="1"/>
    <col min="44" max="44" width="9.54296875" style="2" hidden="1" customWidth="1"/>
    <col min="45" max="45" width="12.54296875" style="2" hidden="1" customWidth="1"/>
    <col min="46" max="55" width="3" style="1" hidden="1" customWidth="1"/>
    <col min="56" max="57" width="3" style="1"/>
    <col min="58" max="60" width="3" style="1" hidden="1" customWidth="1"/>
    <col min="61" max="74" width="3" style="1"/>
    <col min="75" max="75" width="3" style="1" customWidth="1"/>
    <col min="76" max="77" width="3" style="1"/>
    <col min="78" max="78" width="0" style="1" hidden="1" customWidth="1"/>
    <col min="79" max="16384" width="3" style="1"/>
  </cols>
  <sheetData>
    <row r="1" spans="2:78" ht="4" hidden="1" customHeight="1" thickBot="1" x14ac:dyDescent="0.35"/>
    <row r="2" spans="2:78" ht="13" customHeight="1" thickTop="1" x14ac:dyDescent="0.3">
      <c r="B2" s="120"/>
      <c r="C2" s="121"/>
      <c r="D2" s="121"/>
      <c r="E2" s="121"/>
      <c r="F2" s="121"/>
      <c r="G2" s="124" t="s">
        <v>0</v>
      </c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60"/>
      <c r="W2" s="128" t="s">
        <v>1</v>
      </c>
      <c r="X2" s="129"/>
      <c r="Y2" s="129"/>
      <c r="Z2" s="129" t="s">
        <v>2</v>
      </c>
      <c r="AA2" s="129"/>
      <c r="AB2" s="129"/>
      <c r="AC2" s="129" t="s">
        <v>3</v>
      </c>
      <c r="AD2" s="129"/>
      <c r="AE2" s="129"/>
      <c r="AF2" s="130" t="s">
        <v>4</v>
      </c>
      <c r="AG2" s="130"/>
      <c r="AH2" s="131"/>
      <c r="BZ2" s="3"/>
    </row>
    <row r="3" spans="2:78" ht="13" customHeight="1" x14ac:dyDescent="0.3">
      <c r="B3" s="122"/>
      <c r="C3" s="123"/>
      <c r="D3" s="123"/>
      <c r="E3" s="123"/>
      <c r="F3" s="123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61"/>
      <c r="W3" s="153"/>
      <c r="X3" s="154"/>
      <c r="Y3" s="155"/>
      <c r="Z3" s="107"/>
      <c r="AA3" s="107"/>
      <c r="AB3" s="107"/>
      <c r="AC3" s="107"/>
      <c r="AD3" s="107"/>
      <c r="AE3" s="107"/>
      <c r="AF3" s="107"/>
      <c r="AG3" s="107"/>
      <c r="AH3" s="108"/>
      <c r="BZ3" s="3" t="s">
        <v>5</v>
      </c>
    </row>
    <row r="4" spans="2:78" ht="14.15" customHeight="1" x14ac:dyDescent="0.3">
      <c r="B4" s="109" t="s">
        <v>6</v>
      </c>
      <c r="C4" s="110"/>
      <c r="D4" s="110"/>
      <c r="E4" s="110"/>
      <c r="F4" s="111"/>
      <c r="G4" s="111"/>
      <c r="H4" s="111"/>
      <c r="I4" s="111"/>
      <c r="J4" s="111"/>
      <c r="K4" s="112"/>
      <c r="L4" s="113" t="s">
        <v>7</v>
      </c>
      <c r="M4" s="110"/>
      <c r="N4" s="114"/>
      <c r="O4" s="156"/>
      <c r="P4" s="157"/>
      <c r="Q4" s="157"/>
      <c r="R4" s="157"/>
      <c r="S4" s="157"/>
      <c r="T4" s="157"/>
      <c r="U4" s="157"/>
      <c r="V4" s="157"/>
      <c r="W4" s="147"/>
      <c r="X4" s="148"/>
      <c r="Y4" s="149"/>
      <c r="Z4" s="107"/>
      <c r="AA4" s="107"/>
      <c r="AB4" s="107"/>
      <c r="AC4" s="107"/>
      <c r="AD4" s="107"/>
      <c r="AE4" s="107"/>
      <c r="AF4" s="107"/>
      <c r="AG4" s="107"/>
      <c r="AH4" s="108"/>
    </row>
    <row r="5" spans="2:78" ht="14.15" customHeight="1" x14ac:dyDescent="0.3">
      <c r="B5" s="117" t="s">
        <v>8</v>
      </c>
      <c r="C5" s="118"/>
      <c r="D5" s="118"/>
      <c r="E5" s="119" t="s">
        <v>9</v>
      </c>
      <c r="F5" s="119"/>
      <c r="G5" s="119"/>
      <c r="H5" s="119"/>
      <c r="I5" s="119"/>
      <c r="J5" s="119"/>
      <c r="K5" s="119"/>
      <c r="L5" s="118" t="s">
        <v>10</v>
      </c>
      <c r="M5" s="118"/>
      <c r="N5" s="118"/>
      <c r="O5" s="158"/>
      <c r="P5" s="158"/>
      <c r="Q5" s="158"/>
      <c r="R5" s="158"/>
      <c r="S5" s="158"/>
      <c r="T5" s="158"/>
      <c r="U5" s="158"/>
      <c r="V5" s="159"/>
      <c r="W5" s="147"/>
      <c r="X5" s="148"/>
      <c r="Y5" s="149"/>
      <c r="Z5" s="107"/>
      <c r="AA5" s="107"/>
      <c r="AB5" s="107"/>
      <c r="AC5" s="107"/>
      <c r="AD5" s="107"/>
      <c r="AE5" s="107"/>
      <c r="AF5" s="107"/>
      <c r="AG5" s="107"/>
      <c r="AH5" s="108"/>
    </row>
    <row r="6" spans="2:78" ht="5.15" customHeight="1" x14ac:dyDescent="0.3">
      <c r="B6" s="99"/>
      <c r="C6" s="100"/>
      <c r="D6" s="100"/>
      <c r="E6" s="100"/>
      <c r="F6" s="4"/>
      <c r="G6" s="4"/>
      <c r="H6" s="4"/>
      <c r="I6" s="4"/>
      <c r="J6" s="4"/>
      <c r="K6" s="4"/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147"/>
      <c r="X6" s="148"/>
      <c r="Y6" s="149"/>
      <c r="Z6" s="107"/>
      <c r="AA6" s="107"/>
      <c r="AB6" s="107"/>
      <c r="AC6" s="107"/>
      <c r="AD6" s="107"/>
      <c r="AE6" s="107"/>
      <c r="AF6" s="107"/>
      <c r="AG6" s="107"/>
      <c r="AH6" s="108"/>
    </row>
    <row r="7" spans="2:78" ht="15.65" customHeight="1" x14ac:dyDescent="0.3">
      <c r="B7" s="101"/>
      <c r="C7" s="102"/>
      <c r="D7" s="102"/>
      <c r="E7" s="102"/>
      <c r="F7" s="7"/>
      <c r="G7" s="7"/>
      <c r="H7" s="8"/>
      <c r="I7" s="7" t="s">
        <v>11</v>
      </c>
      <c r="J7" s="7"/>
      <c r="K7" s="7"/>
      <c r="L7" s="7"/>
      <c r="M7" s="7"/>
      <c r="N7" s="7"/>
      <c r="O7" s="7"/>
      <c r="P7" s="8"/>
      <c r="Q7" s="7" t="s">
        <v>12</v>
      </c>
      <c r="R7" s="7"/>
      <c r="S7" s="7"/>
      <c r="T7" s="7"/>
      <c r="U7" s="7"/>
      <c r="V7" s="7"/>
      <c r="W7" s="150"/>
      <c r="X7" s="151"/>
      <c r="Y7" s="152"/>
      <c r="Z7" s="107"/>
      <c r="AA7" s="107"/>
      <c r="AB7" s="107"/>
      <c r="AC7" s="107"/>
      <c r="AD7" s="107"/>
      <c r="AE7" s="107"/>
      <c r="AF7" s="107"/>
      <c r="AG7" s="107"/>
      <c r="AH7" s="108"/>
    </row>
    <row r="8" spans="2:78" ht="18" customHeight="1" x14ac:dyDescent="0.3">
      <c r="B8" s="101"/>
      <c r="C8" s="102"/>
      <c r="D8" s="102"/>
      <c r="E8" s="102"/>
      <c r="F8" s="7"/>
      <c r="G8" s="7"/>
      <c r="H8" s="8"/>
      <c r="I8" s="7" t="s">
        <v>13</v>
      </c>
      <c r="J8" s="7"/>
      <c r="K8" s="7"/>
      <c r="L8" s="7"/>
      <c r="M8" s="7"/>
      <c r="N8" s="7"/>
      <c r="O8" s="7"/>
      <c r="P8" s="8"/>
      <c r="Q8" s="7" t="s">
        <v>14</v>
      </c>
      <c r="R8" s="7"/>
      <c r="S8" s="7"/>
      <c r="T8" s="7"/>
      <c r="U8" s="7"/>
      <c r="V8" s="7"/>
      <c r="W8" s="105" t="s">
        <v>15</v>
      </c>
      <c r="X8" s="81"/>
      <c r="Y8" s="81"/>
      <c r="Z8" s="81" t="s">
        <v>15</v>
      </c>
      <c r="AA8" s="81"/>
      <c r="AB8" s="81"/>
      <c r="AC8" s="81" t="s">
        <v>15</v>
      </c>
      <c r="AD8" s="81"/>
      <c r="AE8" s="81"/>
      <c r="AF8" s="81" t="s">
        <v>15</v>
      </c>
      <c r="AG8" s="81"/>
      <c r="AH8" s="82"/>
    </row>
    <row r="9" spans="2:78" ht="5.15" customHeight="1" thickBot="1" x14ac:dyDescent="0.35">
      <c r="B9" s="103"/>
      <c r="C9" s="104"/>
      <c r="D9" s="104"/>
      <c r="E9" s="104"/>
      <c r="F9" s="9"/>
      <c r="G9" s="9"/>
      <c r="H9" s="9"/>
      <c r="I9" s="9"/>
      <c r="J9" s="9"/>
      <c r="K9" s="9"/>
      <c r="L9" s="9"/>
      <c r="M9" s="9"/>
      <c r="N9" s="9"/>
      <c r="O9" s="9"/>
      <c r="P9" s="10"/>
      <c r="Q9" s="10"/>
      <c r="R9" s="10"/>
      <c r="S9" s="10"/>
      <c r="T9" s="10"/>
      <c r="U9" s="10"/>
      <c r="V9" s="10"/>
      <c r="W9" s="106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4"/>
    </row>
    <row r="10" spans="2:78" ht="13.5" thickTop="1" x14ac:dyDescent="0.3">
      <c r="B10" s="85" t="s">
        <v>16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7"/>
      <c r="Z10" s="85" t="s">
        <v>17</v>
      </c>
      <c r="AA10" s="86"/>
      <c r="AB10" s="86"/>
      <c r="AC10" s="86"/>
      <c r="AD10" s="86"/>
      <c r="AE10" s="86"/>
      <c r="AF10" s="86"/>
      <c r="AG10" s="86"/>
      <c r="AH10" s="87"/>
      <c r="BE10" s="3"/>
    </row>
    <row r="11" spans="2:78" x14ac:dyDescent="0.3">
      <c r="B11" s="11" t="s">
        <v>18</v>
      </c>
      <c r="C11" s="88" t="s">
        <v>19</v>
      </c>
      <c r="D11" s="88"/>
      <c r="E11" s="88"/>
      <c r="F11" s="88"/>
      <c r="G11" s="88"/>
      <c r="H11" s="88" t="s">
        <v>20</v>
      </c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 t="s">
        <v>21</v>
      </c>
      <c r="T11" s="88"/>
      <c r="U11" s="88"/>
      <c r="V11" s="88"/>
      <c r="W11" s="88" t="s">
        <v>22</v>
      </c>
      <c r="X11" s="88"/>
      <c r="Y11" s="89"/>
      <c r="Z11" s="90" t="s">
        <v>21</v>
      </c>
      <c r="AA11" s="88"/>
      <c r="AB11" s="88"/>
      <c r="AC11" s="88"/>
      <c r="AD11" s="88" t="s">
        <v>23</v>
      </c>
      <c r="AE11" s="88"/>
      <c r="AF11" s="88"/>
      <c r="AG11" s="88"/>
      <c r="AH11" s="89"/>
      <c r="AL11" s="12" t="s">
        <v>19</v>
      </c>
      <c r="AM11" s="12" t="s">
        <v>20</v>
      </c>
      <c r="AN11" s="12" t="s">
        <v>24</v>
      </c>
      <c r="AO11" s="13" t="s">
        <v>25</v>
      </c>
      <c r="AP11" s="14" t="s">
        <v>26</v>
      </c>
      <c r="AR11" s="15" t="s">
        <v>27</v>
      </c>
      <c r="AS11" s="15" t="s">
        <v>28</v>
      </c>
    </row>
    <row r="12" spans="2:78" s="17" customFormat="1" ht="16" customHeight="1" x14ac:dyDescent="0.3">
      <c r="B12" s="16">
        <v>1</v>
      </c>
      <c r="C12" s="57"/>
      <c r="D12" s="57"/>
      <c r="E12" s="57"/>
      <c r="F12" s="57"/>
      <c r="G12" s="57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57"/>
      <c r="T12" s="57"/>
      <c r="U12" s="57"/>
      <c r="V12" s="57"/>
      <c r="W12" s="57"/>
      <c r="X12" s="57"/>
      <c r="Y12" s="58"/>
      <c r="Z12" s="78"/>
      <c r="AA12" s="78"/>
      <c r="AB12" s="78"/>
      <c r="AC12" s="78"/>
      <c r="AD12" s="76"/>
      <c r="AE12" s="76"/>
      <c r="AF12" s="76"/>
      <c r="AG12" s="76"/>
      <c r="AH12" s="77"/>
      <c r="AK12" s="1"/>
      <c r="AL12" s="12" t="s">
        <v>29</v>
      </c>
      <c r="AM12" s="12" t="s">
        <v>30</v>
      </c>
      <c r="AN12" s="18">
        <f>480*1350</f>
        <v>648000</v>
      </c>
      <c r="AO12" s="13">
        <v>2</v>
      </c>
      <c r="AP12" s="19">
        <f>AO12*AN12</f>
        <v>1296000</v>
      </c>
      <c r="AQ12" s="1"/>
      <c r="AR12" s="20"/>
      <c r="AS12" s="21"/>
    </row>
    <row r="13" spans="2:78" s="17" customFormat="1" ht="16" customHeight="1" x14ac:dyDescent="0.3">
      <c r="B13" s="16">
        <v>2</v>
      </c>
      <c r="C13" s="57"/>
      <c r="D13" s="57"/>
      <c r="E13" s="57"/>
      <c r="F13" s="57"/>
      <c r="G13" s="57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57"/>
      <c r="T13" s="57"/>
      <c r="U13" s="57"/>
      <c r="V13" s="57"/>
      <c r="W13" s="57"/>
      <c r="X13" s="57"/>
      <c r="Y13" s="58"/>
      <c r="Z13" s="78"/>
      <c r="AA13" s="78"/>
      <c r="AB13" s="78"/>
      <c r="AC13" s="78"/>
      <c r="AD13" s="79"/>
      <c r="AE13" s="79"/>
      <c r="AF13" s="79"/>
      <c r="AG13" s="79"/>
      <c r="AH13" s="80"/>
      <c r="AK13" s="1"/>
      <c r="AL13" s="12" t="s">
        <v>31</v>
      </c>
      <c r="AM13" s="12" t="s">
        <v>32</v>
      </c>
      <c r="AN13" s="18">
        <f t="shared" ref="AN13:AN15" si="0">480*1350</f>
        <v>648000</v>
      </c>
      <c r="AO13" s="13"/>
      <c r="AP13" s="19">
        <f t="shared" ref="AP13:AP19" si="1">AO13*AN13</f>
        <v>0</v>
      </c>
      <c r="AQ13" s="1"/>
      <c r="AR13" s="20"/>
      <c r="AS13" s="21"/>
    </row>
    <row r="14" spans="2:78" s="17" customFormat="1" ht="16" customHeight="1" x14ac:dyDescent="0.3">
      <c r="B14" s="16">
        <v>3</v>
      </c>
      <c r="C14" s="57"/>
      <c r="D14" s="57"/>
      <c r="E14" s="57"/>
      <c r="F14" s="57"/>
      <c r="G14" s="57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57"/>
      <c r="T14" s="57"/>
      <c r="U14" s="57"/>
      <c r="V14" s="57"/>
      <c r="W14" s="57"/>
      <c r="X14" s="57"/>
      <c r="Y14" s="58"/>
      <c r="Z14" s="78"/>
      <c r="AA14" s="78"/>
      <c r="AB14" s="78"/>
      <c r="AC14" s="78"/>
      <c r="AD14" s="57"/>
      <c r="AE14" s="57"/>
      <c r="AF14" s="57"/>
      <c r="AG14" s="57"/>
      <c r="AH14" s="58"/>
      <c r="AK14" s="1"/>
      <c r="AL14" s="12" t="s">
        <v>33</v>
      </c>
      <c r="AM14" s="12" t="s">
        <v>34</v>
      </c>
      <c r="AN14" s="18">
        <f t="shared" si="0"/>
        <v>648000</v>
      </c>
      <c r="AO14" s="13"/>
      <c r="AP14" s="19">
        <f t="shared" si="1"/>
        <v>0</v>
      </c>
      <c r="AQ14" s="1"/>
      <c r="AR14" s="20"/>
      <c r="AS14" s="21"/>
    </row>
    <row r="15" spans="2:78" s="17" customFormat="1" ht="16" customHeight="1" x14ac:dyDescent="0.3">
      <c r="B15" s="16">
        <v>4</v>
      </c>
      <c r="C15" s="57"/>
      <c r="D15" s="57"/>
      <c r="E15" s="57"/>
      <c r="F15" s="57"/>
      <c r="G15" s="57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57"/>
      <c r="T15" s="57"/>
      <c r="U15" s="57"/>
      <c r="V15" s="57"/>
      <c r="W15" s="57"/>
      <c r="X15" s="57"/>
      <c r="Y15" s="58"/>
      <c r="Z15" s="75"/>
      <c r="AA15" s="75"/>
      <c r="AB15" s="75"/>
      <c r="AC15" s="75"/>
      <c r="AD15" s="76"/>
      <c r="AE15" s="76"/>
      <c r="AF15" s="76"/>
      <c r="AG15" s="76"/>
      <c r="AH15" s="77"/>
      <c r="AK15" s="1"/>
      <c r="AL15" s="12" t="s">
        <v>35</v>
      </c>
      <c r="AM15" s="12" t="s">
        <v>36</v>
      </c>
      <c r="AN15" s="18">
        <f t="shared" si="0"/>
        <v>648000</v>
      </c>
      <c r="AO15" s="13"/>
      <c r="AP15" s="19">
        <f t="shared" si="1"/>
        <v>0</v>
      </c>
      <c r="AQ15" s="1"/>
      <c r="AR15" s="20"/>
      <c r="AS15" s="21"/>
    </row>
    <row r="16" spans="2:78" s="17" customFormat="1" ht="16" customHeight="1" x14ac:dyDescent="0.3">
      <c r="B16" s="16">
        <v>5</v>
      </c>
      <c r="C16" s="57"/>
      <c r="D16" s="57"/>
      <c r="E16" s="57"/>
      <c r="F16" s="57"/>
      <c r="G16" s="57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57"/>
      <c r="T16" s="57"/>
      <c r="U16" s="57"/>
      <c r="V16" s="57"/>
      <c r="W16" s="57"/>
      <c r="X16" s="57"/>
      <c r="Y16" s="58"/>
      <c r="Z16" s="75"/>
      <c r="AA16" s="75"/>
      <c r="AB16" s="75"/>
      <c r="AC16" s="75"/>
      <c r="AD16" s="76"/>
      <c r="AE16" s="76"/>
      <c r="AF16" s="76"/>
      <c r="AG16" s="76"/>
      <c r="AH16" s="77"/>
      <c r="AK16" s="1"/>
      <c r="AL16" s="12" t="s">
        <v>37</v>
      </c>
      <c r="AM16" s="12" t="s">
        <v>38</v>
      </c>
      <c r="AN16" s="18">
        <f>480*3655</f>
        <v>1754400</v>
      </c>
      <c r="AO16" s="13"/>
      <c r="AP16" s="19">
        <f t="shared" si="1"/>
        <v>0</v>
      </c>
      <c r="AQ16" s="1"/>
      <c r="AR16" s="20"/>
      <c r="AS16" s="21"/>
    </row>
    <row r="17" spans="1:46" s="17" customFormat="1" ht="16" customHeight="1" x14ac:dyDescent="0.3">
      <c r="B17" s="16">
        <v>6</v>
      </c>
      <c r="C17" s="57"/>
      <c r="D17" s="57"/>
      <c r="E17" s="57"/>
      <c r="F17" s="57"/>
      <c r="G17" s="57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57"/>
      <c r="T17" s="57"/>
      <c r="U17" s="57"/>
      <c r="V17" s="57"/>
      <c r="W17" s="57"/>
      <c r="X17" s="57"/>
      <c r="Y17" s="58"/>
      <c r="Z17" s="75"/>
      <c r="AA17" s="75"/>
      <c r="AB17" s="75"/>
      <c r="AC17" s="75"/>
      <c r="AD17" s="71"/>
      <c r="AE17" s="72"/>
      <c r="AF17" s="72"/>
      <c r="AG17" s="72"/>
      <c r="AH17" s="73"/>
      <c r="AK17" s="1"/>
      <c r="AL17" s="12" t="s">
        <v>39</v>
      </c>
      <c r="AM17" s="12" t="s">
        <v>40</v>
      </c>
      <c r="AN17" s="18">
        <f>480*682</f>
        <v>327360</v>
      </c>
      <c r="AO17" s="13"/>
      <c r="AP17" s="19">
        <f t="shared" si="1"/>
        <v>0</v>
      </c>
      <c r="AQ17" s="1"/>
      <c r="AR17" s="20"/>
      <c r="AS17" s="21"/>
    </row>
    <row r="18" spans="1:46" s="17" customFormat="1" ht="16" customHeight="1" x14ac:dyDescent="0.3">
      <c r="B18" s="16">
        <v>7</v>
      </c>
      <c r="C18" s="57"/>
      <c r="D18" s="57"/>
      <c r="E18" s="57"/>
      <c r="F18" s="57"/>
      <c r="G18" s="57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57"/>
      <c r="T18" s="57"/>
      <c r="U18" s="57"/>
      <c r="V18" s="57"/>
      <c r="W18" s="57"/>
      <c r="X18" s="57"/>
      <c r="Y18" s="58"/>
      <c r="Z18" s="59"/>
      <c r="AA18" s="60"/>
      <c r="AB18" s="60"/>
      <c r="AC18" s="60"/>
      <c r="AD18" s="71"/>
      <c r="AE18" s="72"/>
      <c r="AF18" s="72"/>
      <c r="AG18" s="72"/>
      <c r="AH18" s="73"/>
      <c r="AK18" s="1"/>
      <c r="AL18" s="12" t="s">
        <v>41</v>
      </c>
      <c r="AM18" s="12" t="s">
        <v>42</v>
      </c>
      <c r="AN18" s="18">
        <f>480*682</f>
        <v>327360</v>
      </c>
      <c r="AO18" s="13"/>
      <c r="AP18" s="19">
        <f t="shared" si="1"/>
        <v>0</v>
      </c>
      <c r="AQ18" s="1"/>
      <c r="AR18" s="20"/>
      <c r="AS18" s="22"/>
    </row>
    <row r="19" spans="1:46" s="17" customFormat="1" ht="16" customHeight="1" x14ac:dyDescent="0.3">
      <c r="A19" s="17">
        <v>15</v>
      </c>
      <c r="B19" s="16">
        <v>8</v>
      </c>
      <c r="C19" s="57"/>
      <c r="D19" s="57"/>
      <c r="E19" s="57"/>
      <c r="F19" s="57"/>
      <c r="G19" s="57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57"/>
      <c r="T19" s="57"/>
      <c r="U19" s="57"/>
      <c r="V19" s="57"/>
      <c r="W19" s="57"/>
      <c r="X19" s="57"/>
      <c r="Y19" s="58"/>
      <c r="Z19" s="59"/>
      <c r="AA19" s="60"/>
      <c r="AB19" s="60"/>
      <c r="AC19" s="60"/>
      <c r="AD19" s="60"/>
      <c r="AE19" s="60"/>
      <c r="AF19" s="60"/>
      <c r="AG19" s="60"/>
      <c r="AH19" s="61"/>
      <c r="AK19" s="1"/>
      <c r="AL19" s="12" t="s">
        <v>43</v>
      </c>
      <c r="AM19" s="12" t="s">
        <v>44</v>
      </c>
      <c r="AN19" s="18">
        <f t="shared" ref="AN19" si="2">480*1350</f>
        <v>648000</v>
      </c>
      <c r="AO19" s="13"/>
      <c r="AP19" s="19">
        <f t="shared" si="1"/>
        <v>0</v>
      </c>
      <c r="AQ19" s="1"/>
      <c r="AR19" s="20"/>
      <c r="AS19" s="22"/>
    </row>
    <row r="20" spans="1:46" s="17" customFormat="1" ht="16" customHeight="1" x14ac:dyDescent="0.3">
      <c r="B20" s="16">
        <v>9</v>
      </c>
      <c r="C20" s="57"/>
      <c r="D20" s="57"/>
      <c r="E20" s="57"/>
      <c r="F20" s="57"/>
      <c r="G20" s="57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57"/>
      <c r="T20" s="57"/>
      <c r="U20" s="57"/>
      <c r="V20" s="57"/>
      <c r="W20" s="57"/>
      <c r="X20" s="57"/>
      <c r="Y20" s="58"/>
      <c r="Z20" s="59"/>
      <c r="AA20" s="60"/>
      <c r="AB20" s="60"/>
      <c r="AC20" s="60"/>
      <c r="AD20" s="70"/>
      <c r="AE20" s="60"/>
      <c r="AF20" s="60"/>
      <c r="AG20" s="60"/>
      <c r="AH20" s="61"/>
      <c r="AK20" s="1"/>
      <c r="AL20" s="12" t="s">
        <v>45</v>
      </c>
      <c r="AM20" s="12"/>
      <c r="AN20" s="18"/>
      <c r="AO20" s="13"/>
      <c r="AP20" s="19"/>
      <c r="AQ20" s="1"/>
      <c r="AR20" s="23">
        <v>3</v>
      </c>
      <c r="AS20" s="24">
        <v>2</v>
      </c>
    </row>
    <row r="21" spans="1:46" s="17" customFormat="1" ht="16" customHeight="1" x14ac:dyDescent="0.3">
      <c r="B21" s="16">
        <v>10</v>
      </c>
      <c r="C21" s="57"/>
      <c r="D21" s="57"/>
      <c r="E21" s="57"/>
      <c r="F21" s="57"/>
      <c r="G21" s="57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57"/>
      <c r="T21" s="57"/>
      <c r="U21" s="57"/>
      <c r="V21" s="57"/>
      <c r="W21" s="57"/>
      <c r="X21" s="57"/>
      <c r="Y21" s="58"/>
      <c r="Z21" s="65"/>
      <c r="AA21" s="60"/>
      <c r="AB21" s="60"/>
      <c r="AC21" s="60"/>
      <c r="AD21" s="57"/>
      <c r="AE21" s="57"/>
      <c r="AF21" s="57"/>
      <c r="AG21" s="57"/>
      <c r="AH21" s="58"/>
      <c r="AK21" s="1"/>
      <c r="AL21" s="12" t="s">
        <v>46</v>
      </c>
      <c r="AM21" s="12"/>
      <c r="AN21" s="18"/>
      <c r="AO21" s="13"/>
      <c r="AP21" s="19"/>
      <c r="AQ21" s="1"/>
      <c r="AR21" s="23">
        <v>3</v>
      </c>
      <c r="AS21" s="24">
        <v>2</v>
      </c>
    </row>
    <row r="22" spans="1:46" s="17" customFormat="1" ht="16" customHeight="1" x14ac:dyDescent="0.3">
      <c r="B22" s="16">
        <v>11</v>
      </c>
      <c r="C22" s="57"/>
      <c r="D22" s="57"/>
      <c r="E22" s="57"/>
      <c r="F22" s="57"/>
      <c r="G22" s="57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57"/>
      <c r="T22" s="57"/>
      <c r="U22" s="57"/>
      <c r="V22" s="57"/>
      <c r="W22" s="57"/>
      <c r="X22" s="57"/>
      <c r="Y22" s="58"/>
      <c r="Z22" s="59"/>
      <c r="AA22" s="60"/>
      <c r="AB22" s="60"/>
      <c r="AC22" s="60"/>
      <c r="AD22" s="57"/>
      <c r="AE22" s="57"/>
      <c r="AF22" s="57"/>
      <c r="AG22" s="57"/>
      <c r="AH22" s="58"/>
      <c r="AK22" s="1"/>
      <c r="AL22" s="12"/>
      <c r="AM22" s="12"/>
      <c r="AN22" s="18"/>
      <c r="AO22" s="13"/>
      <c r="AP22" s="19"/>
      <c r="AQ22" s="1"/>
      <c r="AR22" s="23"/>
      <c r="AS22" s="24"/>
    </row>
    <row r="23" spans="1:46" s="17" customFormat="1" ht="16" customHeight="1" x14ac:dyDescent="0.3">
      <c r="B23" s="16">
        <v>12</v>
      </c>
      <c r="C23" s="57"/>
      <c r="D23" s="57"/>
      <c r="E23" s="57"/>
      <c r="F23" s="57"/>
      <c r="G23" s="57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57"/>
      <c r="T23" s="57"/>
      <c r="U23" s="57"/>
      <c r="V23" s="57"/>
      <c r="W23" s="57"/>
      <c r="X23" s="57"/>
      <c r="Y23" s="58"/>
      <c r="Z23" s="68"/>
      <c r="AA23" s="69"/>
      <c r="AB23" s="69"/>
      <c r="AC23" s="69"/>
      <c r="AD23" s="66"/>
      <c r="AE23" s="66"/>
      <c r="AF23" s="66"/>
      <c r="AG23" s="66"/>
      <c r="AH23" s="67"/>
      <c r="AK23" s="1"/>
      <c r="AL23" s="12"/>
      <c r="AM23" s="12"/>
      <c r="AN23" s="18"/>
      <c r="AO23" s="13"/>
      <c r="AP23" s="19"/>
      <c r="AQ23" s="1"/>
      <c r="AR23" s="23"/>
      <c r="AS23" s="24"/>
    </row>
    <row r="24" spans="1:46" s="17" customFormat="1" ht="16" customHeight="1" x14ac:dyDescent="0.3">
      <c r="B24" s="16">
        <v>13</v>
      </c>
      <c r="C24" s="57"/>
      <c r="D24" s="57"/>
      <c r="E24" s="57"/>
      <c r="F24" s="57"/>
      <c r="G24" s="57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57"/>
      <c r="T24" s="57"/>
      <c r="U24" s="57"/>
      <c r="V24" s="57"/>
      <c r="W24" s="57"/>
      <c r="X24" s="57"/>
      <c r="Y24" s="58"/>
      <c r="Z24" s="65"/>
      <c r="AA24" s="60"/>
      <c r="AB24" s="60"/>
      <c r="AC24" s="60"/>
      <c r="AD24" s="66"/>
      <c r="AE24" s="66"/>
      <c r="AF24" s="66"/>
      <c r="AG24" s="66"/>
      <c r="AH24" s="67"/>
      <c r="AK24" s="1"/>
      <c r="AL24" s="12"/>
      <c r="AM24" s="12"/>
      <c r="AN24" s="18"/>
      <c r="AO24" s="13"/>
      <c r="AP24" s="19"/>
      <c r="AQ24" s="1"/>
      <c r="AR24" s="23"/>
      <c r="AS24" s="25"/>
    </row>
    <row r="25" spans="1:46" s="17" customFormat="1" ht="16" customHeight="1" x14ac:dyDescent="0.3">
      <c r="B25" s="16">
        <v>14</v>
      </c>
      <c r="C25" s="57"/>
      <c r="D25" s="57"/>
      <c r="E25" s="57"/>
      <c r="F25" s="57"/>
      <c r="G25" s="57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57"/>
      <c r="T25" s="57"/>
      <c r="U25" s="57"/>
      <c r="V25" s="57"/>
      <c r="W25" s="57"/>
      <c r="X25" s="57"/>
      <c r="Y25" s="58"/>
      <c r="Z25" s="62"/>
      <c r="AA25" s="63"/>
      <c r="AB25" s="63"/>
      <c r="AC25" s="64"/>
      <c r="AD25" s="60"/>
      <c r="AE25" s="60"/>
      <c r="AF25" s="60"/>
      <c r="AG25" s="60"/>
      <c r="AH25" s="61"/>
      <c r="AK25" s="1"/>
      <c r="AL25" s="12"/>
      <c r="AM25" s="12"/>
      <c r="AN25" s="18"/>
      <c r="AO25" s="13"/>
      <c r="AP25" s="19"/>
      <c r="AQ25" s="1"/>
      <c r="AR25" s="23"/>
      <c r="AS25" s="25"/>
    </row>
    <row r="26" spans="1:46" s="17" customFormat="1" ht="16" customHeight="1" x14ac:dyDescent="0.3">
      <c r="B26" s="16">
        <v>15</v>
      </c>
      <c r="C26" s="57"/>
      <c r="D26" s="57"/>
      <c r="E26" s="57"/>
      <c r="F26" s="57"/>
      <c r="G26" s="57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57"/>
      <c r="T26" s="57"/>
      <c r="U26" s="57"/>
      <c r="V26" s="57"/>
      <c r="W26" s="57"/>
      <c r="X26" s="57"/>
      <c r="Y26" s="58"/>
      <c r="Z26" s="59"/>
      <c r="AA26" s="60"/>
      <c r="AB26" s="60"/>
      <c r="AC26" s="60"/>
      <c r="AD26" s="60"/>
      <c r="AE26" s="60"/>
      <c r="AF26" s="60"/>
      <c r="AG26" s="60"/>
      <c r="AH26" s="61"/>
      <c r="AK26" s="1"/>
      <c r="AL26" s="12"/>
      <c r="AM26" s="12"/>
      <c r="AN26" s="18"/>
      <c r="AO26" s="13"/>
      <c r="AP26" s="19"/>
      <c r="AQ26" s="1"/>
      <c r="AR26" s="23"/>
      <c r="AS26" s="25"/>
    </row>
    <row r="27" spans="1:46" s="17" customFormat="1" ht="16" customHeight="1" thickBot="1" x14ac:dyDescent="0.35">
      <c r="B27" s="26"/>
      <c r="C27" s="135"/>
      <c r="D27" s="136"/>
      <c r="E27" s="136"/>
      <c r="F27" s="136"/>
      <c r="G27" s="137"/>
      <c r="H27" s="138"/>
      <c r="I27" s="139"/>
      <c r="J27" s="139"/>
      <c r="K27" s="139"/>
      <c r="L27" s="139"/>
      <c r="M27" s="139"/>
      <c r="N27" s="139"/>
      <c r="O27" s="139"/>
      <c r="P27" s="139"/>
      <c r="Q27" s="139"/>
      <c r="R27" s="140"/>
      <c r="S27" s="135"/>
      <c r="T27" s="136"/>
      <c r="U27" s="136"/>
      <c r="V27" s="137"/>
      <c r="W27" s="135"/>
      <c r="X27" s="136"/>
      <c r="Y27" s="141"/>
      <c r="Z27" s="142"/>
      <c r="AA27" s="143"/>
      <c r="AB27" s="143"/>
      <c r="AC27" s="144"/>
      <c r="AD27" s="145"/>
      <c r="AE27" s="143"/>
      <c r="AF27" s="143"/>
      <c r="AG27" s="143"/>
      <c r="AH27" s="146"/>
      <c r="AK27" s="1"/>
      <c r="AL27" s="12" t="s">
        <v>47</v>
      </c>
      <c r="AM27" s="12"/>
      <c r="AN27" s="18"/>
      <c r="AO27" s="19">
        <f>SUM(AO12:AO26)</f>
        <v>2</v>
      </c>
      <c r="AP27" s="19">
        <f>SUM(AP12:AP26)</f>
        <v>1296000</v>
      </c>
      <c r="AQ27" s="1"/>
      <c r="AR27" s="27"/>
      <c r="AS27" s="28"/>
    </row>
    <row r="28" spans="1:46" s="17" customFormat="1" ht="15" customHeight="1" thickTop="1" thickBot="1" x14ac:dyDescent="0.35">
      <c r="B28" s="39" t="s">
        <v>23</v>
      </c>
      <c r="C28" s="40"/>
      <c r="D28" s="40"/>
      <c r="E28" s="40"/>
      <c r="F28" s="40"/>
      <c r="G28" s="41"/>
      <c r="H28" s="42" t="s">
        <v>48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4"/>
      <c r="AK28" s="1"/>
      <c r="AL28" s="1"/>
      <c r="AM28" s="1"/>
      <c r="AN28" s="29"/>
      <c r="AO28" s="30"/>
      <c r="AP28" s="30"/>
      <c r="AQ28" s="30"/>
      <c r="AR28" s="30"/>
      <c r="AS28" s="30"/>
      <c r="AT28" s="30"/>
    </row>
    <row r="29" spans="1:46" ht="13.4" customHeight="1" thickTop="1" x14ac:dyDescent="0.3">
      <c r="A29" s="31"/>
      <c r="W29" s="45" t="s">
        <v>49</v>
      </c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31"/>
    </row>
    <row r="30" spans="1:46" ht="8.25" customHeight="1" x14ac:dyDescent="0.3"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spans="1:46" ht="16.399999999999999" hidden="1" customHeight="1" x14ac:dyDescent="0.3"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spans="1:46" ht="13.4" hidden="1" customHeight="1" x14ac:dyDescent="0.3"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spans="2:45" ht="12.75" hidden="1" customHeight="1" x14ac:dyDescent="0.3"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spans="2:45" ht="16.399999999999999" customHeight="1" x14ac:dyDescent="0.3"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spans="2:45" ht="13.4" customHeight="1" thickBot="1" x14ac:dyDescent="0.35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spans="2:45" ht="13.4" hidden="1" customHeight="1" thickBot="1" x14ac:dyDescent="0.3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</row>
    <row r="37" spans="2:45" ht="13" customHeight="1" thickTop="1" x14ac:dyDescent="0.3">
      <c r="B37" s="120"/>
      <c r="C37" s="121"/>
      <c r="D37" s="121"/>
      <c r="E37" s="121"/>
      <c r="F37" s="121"/>
      <c r="G37" s="124" t="s">
        <v>0</v>
      </c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5"/>
      <c r="W37" s="128" t="s">
        <v>1</v>
      </c>
      <c r="X37" s="129"/>
      <c r="Y37" s="129"/>
      <c r="Z37" s="129" t="s">
        <v>2</v>
      </c>
      <c r="AA37" s="129"/>
      <c r="AB37" s="129"/>
      <c r="AC37" s="129" t="s">
        <v>3</v>
      </c>
      <c r="AD37" s="129"/>
      <c r="AE37" s="129"/>
      <c r="AF37" s="130" t="s">
        <v>4</v>
      </c>
      <c r="AG37" s="130"/>
      <c r="AH37" s="131"/>
    </row>
    <row r="38" spans="2:45" ht="13" customHeight="1" x14ac:dyDescent="0.3">
      <c r="B38" s="122"/>
      <c r="C38" s="123"/>
      <c r="D38" s="123"/>
      <c r="E38" s="123"/>
      <c r="F38" s="123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7"/>
      <c r="W38" s="132" t="str">
        <f>IF(W3="","",W3)</f>
        <v/>
      </c>
      <c r="X38" s="133"/>
      <c r="Y38" s="134"/>
      <c r="Z38" s="107"/>
      <c r="AA38" s="107"/>
      <c r="AB38" s="107"/>
      <c r="AC38" s="107"/>
      <c r="AD38" s="107"/>
      <c r="AE38" s="107"/>
      <c r="AF38" s="107"/>
      <c r="AG38" s="107"/>
      <c r="AH38" s="108"/>
    </row>
    <row r="39" spans="2:45" ht="14.15" customHeight="1" x14ac:dyDescent="0.3">
      <c r="B39" s="109" t="s">
        <v>6</v>
      </c>
      <c r="C39" s="110"/>
      <c r="D39" s="110"/>
      <c r="E39" s="110"/>
      <c r="F39" s="111" t="str">
        <f>IF(F4="","",F4)</f>
        <v/>
      </c>
      <c r="G39" s="111"/>
      <c r="H39" s="111"/>
      <c r="I39" s="111"/>
      <c r="J39" s="111"/>
      <c r="K39" s="112"/>
      <c r="L39" s="113" t="s">
        <v>7</v>
      </c>
      <c r="M39" s="110"/>
      <c r="N39" s="114"/>
      <c r="O39" s="115" t="str">
        <f>IF(O4="","",O4)</f>
        <v/>
      </c>
      <c r="P39" s="111"/>
      <c r="Q39" s="111"/>
      <c r="R39" s="111"/>
      <c r="S39" s="111"/>
      <c r="T39" s="111"/>
      <c r="U39" s="111"/>
      <c r="V39" s="116"/>
      <c r="W39" s="93"/>
      <c r="X39" s="94"/>
      <c r="Y39" s="95"/>
      <c r="Z39" s="107"/>
      <c r="AA39" s="107"/>
      <c r="AB39" s="107"/>
      <c r="AC39" s="107"/>
      <c r="AD39" s="107"/>
      <c r="AE39" s="107"/>
      <c r="AF39" s="107"/>
      <c r="AG39" s="107"/>
      <c r="AH39" s="108"/>
    </row>
    <row r="40" spans="2:45" ht="14.15" customHeight="1" x14ac:dyDescent="0.3">
      <c r="B40" s="117" t="s">
        <v>8</v>
      </c>
      <c r="C40" s="118"/>
      <c r="D40" s="118"/>
      <c r="E40" s="119" t="s">
        <v>9</v>
      </c>
      <c r="F40" s="119"/>
      <c r="G40" s="119"/>
      <c r="H40" s="119"/>
      <c r="I40" s="119"/>
      <c r="J40" s="119"/>
      <c r="K40" s="119"/>
      <c r="L40" s="118" t="s">
        <v>10</v>
      </c>
      <c r="M40" s="118"/>
      <c r="N40" s="118"/>
      <c r="O40" s="91" t="str">
        <f>IF(O5="","",O5)</f>
        <v/>
      </c>
      <c r="P40" s="91"/>
      <c r="Q40" s="91"/>
      <c r="R40" s="91"/>
      <c r="S40" s="91"/>
      <c r="T40" s="91"/>
      <c r="U40" s="91"/>
      <c r="V40" s="92"/>
      <c r="W40" s="93" t="str">
        <f>IF(W5="","",W5)</f>
        <v/>
      </c>
      <c r="X40" s="94"/>
      <c r="Y40" s="95"/>
      <c r="Z40" s="107"/>
      <c r="AA40" s="107"/>
      <c r="AB40" s="107"/>
      <c r="AC40" s="107"/>
      <c r="AD40" s="107"/>
      <c r="AE40" s="107"/>
      <c r="AF40" s="107"/>
      <c r="AG40" s="107"/>
      <c r="AH40" s="108"/>
    </row>
    <row r="41" spans="2:45" ht="5.15" customHeight="1" x14ac:dyDescent="0.3">
      <c r="B41" s="99"/>
      <c r="C41" s="100"/>
      <c r="D41" s="100"/>
      <c r="E41" s="100"/>
      <c r="F41" s="4"/>
      <c r="G41" s="4"/>
      <c r="H41" s="4"/>
      <c r="I41" s="4"/>
      <c r="J41" s="4"/>
      <c r="K41" s="4"/>
      <c r="L41" s="5"/>
      <c r="M41" s="5"/>
      <c r="N41" s="5"/>
      <c r="O41" s="6"/>
      <c r="P41" s="6"/>
      <c r="Q41" s="6"/>
      <c r="R41" s="6"/>
      <c r="S41" s="6"/>
      <c r="T41" s="6"/>
      <c r="U41" s="6"/>
      <c r="V41" s="36"/>
      <c r="W41" s="93"/>
      <c r="X41" s="94"/>
      <c r="Y41" s="95"/>
      <c r="Z41" s="107"/>
      <c r="AA41" s="107"/>
      <c r="AB41" s="107"/>
      <c r="AC41" s="107"/>
      <c r="AD41" s="107"/>
      <c r="AE41" s="107"/>
      <c r="AF41" s="107"/>
      <c r="AG41" s="107"/>
      <c r="AH41" s="108"/>
    </row>
    <row r="42" spans="2:45" ht="15.65" customHeight="1" x14ac:dyDescent="0.3">
      <c r="B42" s="101"/>
      <c r="C42" s="102"/>
      <c r="D42" s="102"/>
      <c r="E42" s="102"/>
      <c r="F42" s="7"/>
      <c r="G42" s="7"/>
      <c r="H42" s="8"/>
      <c r="I42" s="7" t="s">
        <v>11</v>
      </c>
      <c r="J42" s="7"/>
      <c r="K42" s="7"/>
      <c r="L42" s="7"/>
      <c r="M42" s="7"/>
      <c r="N42" s="7"/>
      <c r="O42" s="7"/>
      <c r="P42" s="8"/>
      <c r="Q42" s="7" t="s">
        <v>12</v>
      </c>
      <c r="R42" s="7"/>
      <c r="S42" s="7"/>
      <c r="T42" s="7"/>
      <c r="U42" s="7"/>
      <c r="V42" s="37"/>
      <c r="W42" s="96"/>
      <c r="X42" s="97"/>
      <c r="Y42" s="98"/>
      <c r="Z42" s="107"/>
      <c r="AA42" s="107"/>
      <c r="AB42" s="107"/>
      <c r="AC42" s="107"/>
      <c r="AD42" s="107"/>
      <c r="AE42" s="107"/>
      <c r="AF42" s="107"/>
      <c r="AG42" s="107"/>
      <c r="AH42" s="108"/>
    </row>
    <row r="43" spans="2:45" ht="18" customHeight="1" x14ac:dyDescent="0.3">
      <c r="B43" s="101"/>
      <c r="C43" s="102"/>
      <c r="D43" s="102"/>
      <c r="E43" s="102"/>
      <c r="F43" s="7"/>
      <c r="G43" s="7"/>
      <c r="H43" s="8"/>
      <c r="I43" s="7" t="s">
        <v>13</v>
      </c>
      <c r="J43" s="7"/>
      <c r="K43" s="7"/>
      <c r="L43" s="7"/>
      <c r="M43" s="7"/>
      <c r="N43" s="7"/>
      <c r="O43" s="7"/>
      <c r="P43" s="8"/>
      <c r="Q43" s="7" t="s">
        <v>14</v>
      </c>
      <c r="R43" s="7"/>
      <c r="S43" s="7"/>
      <c r="T43" s="7"/>
      <c r="U43" s="7"/>
      <c r="V43" s="37"/>
      <c r="W43" s="105" t="s">
        <v>15</v>
      </c>
      <c r="X43" s="81"/>
      <c r="Y43" s="81"/>
      <c r="Z43" s="81" t="s">
        <v>15</v>
      </c>
      <c r="AA43" s="81"/>
      <c r="AB43" s="81"/>
      <c r="AC43" s="81" t="s">
        <v>15</v>
      </c>
      <c r="AD43" s="81"/>
      <c r="AE43" s="81"/>
      <c r="AF43" s="81" t="s">
        <v>15</v>
      </c>
      <c r="AG43" s="81"/>
      <c r="AH43" s="82"/>
    </row>
    <row r="44" spans="2:45" ht="5.15" customHeight="1" thickBot="1" x14ac:dyDescent="0.35">
      <c r="B44" s="103"/>
      <c r="C44" s="104"/>
      <c r="D44" s="104"/>
      <c r="E44" s="104"/>
      <c r="F44" s="9"/>
      <c r="G44" s="9"/>
      <c r="H44" s="9"/>
      <c r="I44" s="9"/>
      <c r="J44" s="9"/>
      <c r="K44" s="9"/>
      <c r="L44" s="9"/>
      <c r="M44" s="9"/>
      <c r="N44" s="9"/>
      <c r="O44" s="9"/>
      <c r="P44" s="10"/>
      <c r="Q44" s="10"/>
      <c r="R44" s="10"/>
      <c r="S44" s="10"/>
      <c r="T44" s="10"/>
      <c r="U44" s="10"/>
      <c r="V44" s="38"/>
      <c r="W44" s="106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4"/>
    </row>
    <row r="45" spans="2:45" ht="13.5" thickTop="1" x14ac:dyDescent="0.3">
      <c r="B45" s="85" t="s">
        <v>16</v>
      </c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7"/>
      <c r="Z45" s="85" t="s">
        <v>17</v>
      </c>
      <c r="AA45" s="86"/>
      <c r="AB45" s="86"/>
      <c r="AC45" s="86"/>
      <c r="AD45" s="86"/>
      <c r="AE45" s="86"/>
      <c r="AF45" s="86"/>
      <c r="AG45" s="86"/>
      <c r="AH45" s="87"/>
    </row>
    <row r="46" spans="2:45" x14ac:dyDescent="0.3">
      <c r="B46" s="11" t="s">
        <v>18</v>
      </c>
      <c r="C46" s="88" t="s">
        <v>19</v>
      </c>
      <c r="D46" s="88"/>
      <c r="E46" s="88"/>
      <c r="F46" s="88"/>
      <c r="G46" s="88"/>
      <c r="H46" s="88" t="s">
        <v>20</v>
      </c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 t="s">
        <v>21</v>
      </c>
      <c r="T46" s="88"/>
      <c r="U46" s="88"/>
      <c r="V46" s="88"/>
      <c r="W46" s="88" t="s">
        <v>22</v>
      </c>
      <c r="X46" s="88"/>
      <c r="Y46" s="89"/>
      <c r="Z46" s="90" t="s">
        <v>21</v>
      </c>
      <c r="AA46" s="88"/>
      <c r="AB46" s="88"/>
      <c r="AC46" s="88"/>
      <c r="AD46" s="88" t="s">
        <v>23</v>
      </c>
      <c r="AE46" s="88"/>
      <c r="AF46" s="88"/>
      <c r="AG46" s="88"/>
      <c r="AH46" s="89"/>
      <c r="AL46" s="12" t="s">
        <v>19</v>
      </c>
      <c r="AM46" s="12" t="s">
        <v>20</v>
      </c>
      <c r="AN46" s="12" t="s">
        <v>24</v>
      </c>
      <c r="AO46" s="13" t="s">
        <v>25</v>
      </c>
      <c r="AP46" s="14" t="s">
        <v>26</v>
      </c>
      <c r="AR46" s="15" t="s">
        <v>27</v>
      </c>
      <c r="AS46" s="15" t="s">
        <v>28</v>
      </c>
    </row>
    <row r="47" spans="2:45" s="17" customFormat="1" ht="16" customHeight="1" x14ac:dyDescent="0.3">
      <c r="B47" s="16">
        <v>1</v>
      </c>
      <c r="C47" s="46"/>
      <c r="D47" s="47"/>
      <c r="E47" s="47"/>
      <c r="F47" s="47"/>
      <c r="G47" s="48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57"/>
      <c r="T47" s="57"/>
      <c r="U47" s="57"/>
      <c r="V47" s="57"/>
      <c r="W47" s="57"/>
      <c r="X47" s="57"/>
      <c r="Y47" s="58"/>
      <c r="Z47" s="78"/>
      <c r="AA47" s="78"/>
      <c r="AB47" s="78"/>
      <c r="AC47" s="78"/>
      <c r="AD47" s="76"/>
      <c r="AE47" s="76"/>
      <c r="AF47" s="76"/>
      <c r="AG47" s="76"/>
      <c r="AH47" s="77"/>
      <c r="AK47" s="1"/>
      <c r="AL47" s="12"/>
      <c r="AM47" s="12"/>
      <c r="AN47" s="18"/>
      <c r="AO47" s="13"/>
      <c r="AP47" s="19">
        <f>AO47*AN47</f>
        <v>0</v>
      </c>
      <c r="AQ47" s="1"/>
      <c r="AR47" s="23"/>
      <c r="AS47" s="25"/>
    </row>
    <row r="48" spans="2:45" s="17" customFormat="1" ht="16" customHeight="1" x14ac:dyDescent="0.3">
      <c r="B48" s="16">
        <v>2</v>
      </c>
      <c r="C48" s="46"/>
      <c r="D48" s="47"/>
      <c r="E48" s="47"/>
      <c r="F48" s="47"/>
      <c r="G48" s="48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57"/>
      <c r="T48" s="57"/>
      <c r="U48" s="57"/>
      <c r="V48" s="57"/>
      <c r="W48" s="57"/>
      <c r="X48" s="57"/>
      <c r="Y48" s="58"/>
      <c r="Z48" s="78"/>
      <c r="AA48" s="78"/>
      <c r="AB48" s="78"/>
      <c r="AC48" s="78"/>
      <c r="AD48" s="79"/>
      <c r="AE48" s="79"/>
      <c r="AF48" s="79"/>
      <c r="AG48" s="79"/>
      <c r="AH48" s="80"/>
      <c r="AK48" s="1"/>
      <c r="AL48" s="12"/>
      <c r="AM48" s="12"/>
      <c r="AN48" s="18"/>
      <c r="AO48" s="13"/>
      <c r="AP48" s="19">
        <f t="shared" ref="AP48:AP58" si="3">AO48*AN48</f>
        <v>0</v>
      </c>
      <c r="AQ48" s="1"/>
      <c r="AR48" s="23"/>
      <c r="AS48" s="25"/>
    </row>
    <row r="49" spans="1:46" s="17" customFormat="1" ht="16" customHeight="1" x14ac:dyDescent="0.3">
      <c r="B49" s="16">
        <v>3</v>
      </c>
      <c r="C49" s="46"/>
      <c r="D49" s="47"/>
      <c r="E49" s="47"/>
      <c r="F49" s="47"/>
      <c r="G49" s="48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57"/>
      <c r="T49" s="57"/>
      <c r="U49" s="57"/>
      <c r="V49" s="57"/>
      <c r="W49" s="57"/>
      <c r="X49" s="57"/>
      <c r="Y49" s="58"/>
      <c r="Z49" s="78"/>
      <c r="AA49" s="78"/>
      <c r="AB49" s="78"/>
      <c r="AC49" s="78"/>
      <c r="AD49" s="57"/>
      <c r="AE49" s="57"/>
      <c r="AF49" s="57"/>
      <c r="AG49" s="57"/>
      <c r="AH49" s="58"/>
      <c r="AK49" s="1"/>
      <c r="AL49" s="12"/>
      <c r="AM49" s="12"/>
      <c r="AN49" s="18"/>
      <c r="AO49" s="13"/>
      <c r="AP49" s="19">
        <f t="shared" si="3"/>
        <v>0</v>
      </c>
      <c r="AQ49" s="1"/>
      <c r="AR49" s="23"/>
      <c r="AS49" s="25"/>
    </row>
    <row r="50" spans="1:46" s="17" customFormat="1" ht="16" customHeight="1" x14ac:dyDescent="0.3">
      <c r="B50" s="16">
        <v>4</v>
      </c>
      <c r="C50" s="46"/>
      <c r="D50" s="47"/>
      <c r="E50" s="47"/>
      <c r="F50" s="47"/>
      <c r="G50" s="48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57"/>
      <c r="T50" s="57"/>
      <c r="U50" s="57"/>
      <c r="V50" s="57"/>
      <c r="W50" s="57"/>
      <c r="X50" s="57"/>
      <c r="Y50" s="58"/>
      <c r="Z50" s="75"/>
      <c r="AA50" s="75"/>
      <c r="AB50" s="75"/>
      <c r="AC50" s="75"/>
      <c r="AD50" s="76"/>
      <c r="AE50" s="76"/>
      <c r="AF50" s="76"/>
      <c r="AG50" s="76"/>
      <c r="AH50" s="77"/>
      <c r="AK50" s="1"/>
      <c r="AL50" s="12"/>
      <c r="AM50" s="12"/>
      <c r="AN50" s="18"/>
      <c r="AO50" s="13"/>
      <c r="AP50" s="19">
        <f t="shared" si="3"/>
        <v>0</v>
      </c>
      <c r="AQ50" s="1"/>
      <c r="AR50" s="23"/>
      <c r="AS50" s="25"/>
    </row>
    <row r="51" spans="1:46" s="17" customFormat="1" ht="16" customHeight="1" x14ac:dyDescent="0.3">
      <c r="B51" s="16">
        <v>5</v>
      </c>
      <c r="C51" s="46"/>
      <c r="D51" s="47"/>
      <c r="E51" s="47"/>
      <c r="F51" s="47"/>
      <c r="G51" s="48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57"/>
      <c r="T51" s="57"/>
      <c r="U51" s="57"/>
      <c r="V51" s="57"/>
      <c r="W51" s="57"/>
      <c r="X51" s="57"/>
      <c r="Y51" s="58"/>
      <c r="Z51" s="75"/>
      <c r="AA51" s="75"/>
      <c r="AB51" s="75"/>
      <c r="AC51" s="75"/>
      <c r="AD51" s="76"/>
      <c r="AE51" s="76"/>
      <c r="AF51" s="76"/>
      <c r="AG51" s="76"/>
      <c r="AH51" s="77"/>
      <c r="AK51" s="1"/>
      <c r="AL51" s="12"/>
      <c r="AM51" s="12"/>
      <c r="AN51" s="18"/>
      <c r="AO51" s="13"/>
      <c r="AP51" s="19">
        <f t="shared" si="3"/>
        <v>0</v>
      </c>
      <c r="AQ51" s="1"/>
      <c r="AR51" s="23"/>
      <c r="AS51" s="25"/>
    </row>
    <row r="52" spans="1:46" s="17" customFormat="1" ht="16" customHeight="1" x14ac:dyDescent="0.3">
      <c r="B52" s="16">
        <v>6</v>
      </c>
      <c r="C52" s="46"/>
      <c r="D52" s="47"/>
      <c r="E52" s="47"/>
      <c r="F52" s="47"/>
      <c r="G52" s="48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57"/>
      <c r="T52" s="57"/>
      <c r="U52" s="57"/>
      <c r="V52" s="57"/>
      <c r="W52" s="57"/>
      <c r="X52" s="57"/>
      <c r="Y52" s="58"/>
      <c r="Z52" s="75"/>
      <c r="AA52" s="75"/>
      <c r="AB52" s="75"/>
      <c r="AC52" s="75"/>
      <c r="AD52" s="71"/>
      <c r="AE52" s="72"/>
      <c r="AF52" s="72"/>
      <c r="AG52" s="72"/>
      <c r="AH52" s="73"/>
      <c r="AK52" s="1"/>
      <c r="AL52" s="12"/>
      <c r="AM52" s="12"/>
      <c r="AN52" s="18"/>
      <c r="AO52" s="13"/>
      <c r="AP52" s="19">
        <f t="shared" si="3"/>
        <v>0</v>
      </c>
      <c r="AQ52" s="1"/>
      <c r="AR52" s="23"/>
      <c r="AS52" s="25"/>
    </row>
    <row r="53" spans="1:46" s="17" customFormat="1" ht="16" customHeight="1" x14ac:dyDescent="0.3">
      <c r="B53" s="16">
        <v>7</v>
      </c>
      <c r="C53" s="46"/>
      <c r="D53" s="47"/>
      <c r="E53" s="47"/>
      <c r="F53" s="47"/>
      <c r="G53" s="48"/>
      <c r="H53" s="49"/>
      <c r="I53" s="50"/>
      <c r="J53" s="50"/>
      <c r="K53" s="50"/>
      <c r="L53" s="50"/>
      <c r="M53" s="50"/>
      <c r="N53" s="50"/>
      <c r="O53" s="50"/>
      <c r="P53" s="50"/>
      <c r="Q53" s="50"/>
      <c r="R53" s="51"/>
      <c r="S53" s="57"/>
      <c r="T53" s="57"/>
      <c r="U53" s="57"/>
      <c r="V53" s="57"/>
      <c r="W53" s="57"/>
      <c r="X53" s="57"/>
      <c r="Y53" s="58"/>
      <c r="Z53" s="59"/>
      <c r="AA53" s="60"/>
      <c r="AB53" s="60"/>
      <c r="AC53" s="60"/>
      <c r="AD53" s="71"/>
      <c r="AE53" s="72"/>
      <c r="AF53" s="72"/>
      <c r="AG53" s="72"/>
      <c r="AH53" s="73"/>
      <c r="AK53" s="1"/>
      <c r="AL53" s="12"/>
      <c r="AM53" s="12"/>
      <c r="AN53" s="18"/>
      <c r="AO53" s="13"/>
      <c r="AP53" s="19">
        <f t="shared" si="3"/>
        <v>0</v>
      </c>
      <c r="AQ53" s="1"/>
      <c r="AR53" s="23"/>
      <c r="AS53" s="24"/>
    </row>
    <row r="54" spans="1:46" s="17" customFormat="1" ht="16" customHeight="1" x14ac:dyDescent="0.3">
      <c r="A54" s="17">
        <v>15</v>
      </c>
      <c r="B54" s="16">
        <v>8</v>
      </c>
      <c r="C54" s="46"/>
      <c r="D54" s="47"/>
      <c r="E54" s="47"/>
      <c r="F54" s="47"/>
      <c r="G54" s="48"/>
      <c r="H54" s="49"/>
      <c r="I54" s="50"/>
      <c r="J54" s="50"/>
      <c r="K54" s="50"/>
      <c r="L54" s="50"/>
      <c r="M54" s="50"/>
      <c r="N54" s="50"/>
      <c r="O54" s="50"/>
      <c r="P54" s="50"/>
      <c r="Q54" s="50"/>
      <c r="R54" s="51"/>
      <c r="S54" s="57"/>
      <c r="T54" s="57"/>
      <c r="U54" s="57"/>
      <c r="V54" s="57"/>
      <c r="W54" s="57"/>
      <c r="X54" s="57"/>
      <c r="Y54" s="58"/>
      <c r="Z54" s="59"/>
      <c r="AA54" s="60"/>
      <c r="AB54" s="60"/>
      <c r="AC54" s="60"/>
      <c r="AD54" s="60"/>
      <c r="AE54" s="60"/>
      <c r="AF54" s="60"/>
      <c r="AG54" s="60"/>
      <c r="AH54" s="61"/>
      <c r="AK54" s="1"/>
      <c r="AL54" s="12"/>
      <c r="AM54" s="12"/>
      <c r="AN54" s="18"/>
      <c r="AO54" s="13"/>
      <c r="AP54" s="19">
        <f t="shared" si="3"/>
        <v>0</v>
      </c>
      <c r="AQ54" s="1"/>
      <c r="AR54" s="23"/>
      <c r="AS54" s="24"/>
    </row>
    <row r="55" spans="1:46" s="17" customFormat="1" ht="16" customHeight="1" x14ac:dyDescent="0.3">
      <c r="B55" s="16">
        <v>9</v>
      </c>
      <c r="C55" s="46"/>
      <c r="D55" s="47"/>
      <c r="E55" s="47"/>
      <c r="F55" s="47"/>
      <c r="G55" s="48"/>
      <c r="H55" s="49"/>
      <c r="I55" s="50"/>
      <c r="J55" s="50"/>
      <c r="K55" s="50"/>
      <c r="L55" s="50"/>
      <c r="M55" s="50"/>
      <c r="N55" s="50"/>
      <c r="O55" s="50"/>
      <c r="P55" s="50"/>
      <c r="Q55" s="50"/>
      <c r="R55" s="51"/>
      <c r="S55" s="57"/>
      <c r="T55" s="57"/>
      <c r="U55" s="57"/>
      <c r="V55" s="57"/>
      <c r="W55" s="57"/>
      <c r="X55" s="57"/>
      <c r="Y55" s="58"/>
      <c r="Z55" s="59"/>
      <c r="AA55" s="60"/>
      <c r="AB55" s="60"/>
      <c r="AC55" s="60"/>
      <c r="AD55" s="70"/>
      <c r="AE55" s="60"/>
      <c r="AF55" s="60"/>
      <c r="AG55" s="60"/>
      <c r="AH55" s="61"/>
      <c r="AK55" s="1"/>
      <c r="AL55" s="12"/>
      <c r="AM55" s="12"/>
      <c r="AN55" s="18"/>
      <c r="AO55" s="13"/>
      <c r="AP55" s="19">
        <f t="shared" si="3"/>
        <v>0</v>
      </c>
      <c r="AQ55" s="1"/>
      <c r="AR55" s="23"/>
      <c r="AS55" s="24"/>
    </row>
    <row r="56" spans="1:46" s="17" customFormat="1" ht="16" customHeight="1" x14ac:dyDescent="0.3">
      <c r="B56" s="16">
        <v>10</v>
      </c>
      <c r="C56" s="46"/>
      <c r="D56" s="47"/>
      <c r="E56" s="47"/>
      <c r="F56" s="47"/>
      <c r="G56" s="48"/>
      <c r="H56" s="49"/>
      <c r="I56" s="50"/>
      <c r="J56" s="50"/>
      <c r="K56" s="50"/>
      <c r="L56" s="50"/>
      <c r="M56" s="50"/>
      <c r="N56" s="50"/>
      <c r="O56" s="50"/>
      <c r="P56" s="50"/>
      <c r="Q56" s="50"/>
      <c r="R56" s="51"/>
      <c r="S56" s="57"/>
      <c r="T56" s="57"/>
      <c r="U56" s="57"/>
      <c r="V56" s="57"/>
      <c r="W56" s="57"/>
      <c r="X56" s="57"/>
      <c r="Y56" s="58"/>
      <c r="Z56" s="65"/>
      <c r="AA56" s="60"/>
      <c r="AB56" s="60"/>
      <c r="AC56" s="60"/>
      <c r="AD56" s="57"/>
      <c r="AE56" s="57"/>
      <c r="AF56" s="57"/>
      <c r="AG56" s="57"/>
      <c r="AH56" s="58"/>
      <c r="AK56" s="1"/>
      <c r="AL56" s="12"/>
      <c r="AM56" s="12"/>
      <c r="AN56" s="18"/>
      <c r="AO56" s="13"/>
      <c r="AP56" s="19">
        <f t="shared" si="3"/>
        <v>0</v>
      </c>
      <c r="AQ56" s="1"/>
      <c r="AR56" s="23"/>
      <c r="AS56" s="24"/>
    </row>
    <row r="57" spans="1:46" s="17" customFormat="1" ht="16" customHeight="1" x14ac:dyDescent="0.3">
      <c r="B57" s="16">
        <v>11</v>
      </c>
      <c r="C57" s="46"/>
      <c r="D57" s="47"/>
      <c r="E57" s="47"/>
      <c r="F57" s="47"/>
      <c r="G57" s="48"/>
      <c r="H57" s="49"/>
      <c r="I57" s="50"/>
      <c r="J57" s="50"/>
      <c r="K57" s="50"/>
      <c r="L57" s="50"/>
      <c r="M57" s="50"/>
      <c r="N57" s="50"/>
      <c r="O57" s="50"/>
      <c r="P57" s="50"/>
      <c r="Q57" s="50"/>
      <c r="R57" s="51"/>
      <c r="S57" s="57"/>
      <c r="T57" s="57"/>
      <c r="U57" s="57"/>
      <c r="V57" s="57"/>
      <c r="W57" s="57"/>
      <c r="X57" s="57"/>
      <c r="Y57" s="58"/>
      <c r="Z57" s="59"/>
      <c r="AA57" s="60"/>
      <c r="AB57" s="60"/>
      <c r="AC57" s="60"/>
      <c r="AD57" s="57"/>
      <c r="AE57" s="57"/>
      <c r="AF57" s="57"/>
      <c r="AG57" s="57"/>
      <c r="AH57" s="58"/>
      <c r="AK57" s="1"/>
      <c r="AL57" s="12"/>
      <c r="AM57" s="12"/>
      <c r="AN57" s="18"/>
      <c r="AO57" s="13"/>
      <c r="AP57" s="19">
        <f t="shared" si="3"/>
        <v>0</v>
      </c>
      <c r="AQ57" s="1"/>
      <c r="AR57" s="23"/>
      <c r="AS57" s="24"/>
    </row>
    <row r="58" spans="1:46" s="17" customFormat="1" ht="16" customHeight="1" x14ac:dyDescent="0.3">
      <c r="B58" s="16">
        <v>12</v>
      </c>
      <c r="C58" s="46"/>
      <c r="D58" s="47"/>
      <c r="E58" s="47"/>
      <c r="F58" s="47"/>
      <c r="G58" s="48"/>
      <c r="H58" s="49"/>
      <c r="I58" s="50"/>
      <c r="J58" s="50"/>
      <c r="K58" s="50"/>
      <c r="L58" s="50"/>
      <c r="M58" s="50"/>
      <c r="N58" s="50"/>
      <c r="O58" s="50"/>
      <c r="P58" s="50"/>
      <c r="Q58" s="50"/>
      <c r="R58" s="51"/>
      <c r="S58" s="57"/>
      <c r="T58" s="57"/>
      <c r="U58" s="57"/>
      <c r="V58" s="57"/>
      <c r="W58" s="57"/>
      <c r="X58" s="57"/>
      <c r="Y58" s="58"/>
      <c r="Z58" s="68"/>
      <c r="AA58" s="69"/>
      <c r="AB58" s="69"/>
      <c r="AC58" s="69"/>
      <c r="AD58" s="66"/>
      <c r="AE58" s="66"/>
      <c r="AF58" s="66"/>
      <c r="AG58" s="66"/>
      <c r="AH58" s="67"/>
      <c r="AK58" s="1"/>
      <c r="AL58" s="12"/>
      <c r="AM58" s="12"/>
      <c r="AN58" s="18"/>
      <c r="AO58" s="13"/>
      <c r="AP58" s="19">
        <f t="shared" si="3"/>
        <v>0</v>
      </c>
      <c r="AQ58" s="1"/>
      <c r="AR58" s="23"/>
      <c r="AS58" s="24"/>
    </row>
    <row r="59" spans="1:46" s="17" customFormat="1" ht="16" customHeight="1" x14ac:dyDescent="0.3">
      <c r="B59" s="16">
        <v>13</v>
      </c>
      <c r="C59" s="46"/>
      <c r="D59" s="47"/>
      <c r="E59" s="47"/>
      <c r="F59" s="47"/>
      <c r="G59" s="48"/>
      <c r="H59" s="49"/>
      <c r="I59" s="50"/>
      <c r="J59" s="50"/>
      <c r="K59" s="50"/>
      <c r="L59" s="50"/>
      <c r="M59" s="50"/>
      <c r="N59" s="50"/>
      <c r="O59" s="50"/>
      <c r="P59" s="50"/>
      <c r="Q59" s="50"/>
      <c r="R59" s="51"/>
      <c r="S59" s="57"/>
      <c r="T59" s="57"/>
      <c r="U59" s="57"/>
      <c r="V59" s="57"/>
      <c r="W59" s="57"/>
      <c r="X59" s="57"/>
      <c r="Y59" s="58"/>
      <c r="Z59" s="65"/>
      <c r="AA59" s="60"/>
      <c r="AB59" s="60"/>
      <c r="AC59" s="60"/>
      <c r="AD59" s="66"/>
      <c r="AE59" s="66"/>
      <c r="AF59" s="66"/>
      <c r="AG59" s="66"/>
      <c r="AH59" s="67"/>
      <c r="AK59" s="1"/>
      <c r="AL59" s="12"/>
      <c r="AM59" s="12"/>
      <c r="AN59" s="18"/>
      <c r="AO59" s="13"/>
      <c r="AP59" s="19"/>
      <c r="AQ59" s="1"/>
      <c r="AR59" s="23"/>
      <c r="AS59" s="25"/>
    </row>
    <row r="60" spans="1:46" s="17" customFormat="1" ht="16" customHeight="1" x14ac:dyDescent="0.3">
      <c r="B60" s="16">
        <v>14</v>
      </c>
      <c r="C60" s="46"/>
      <c r="D60" s="47"/>
      <c r="E60" s="47"/>
      <c r="F60" s="47"/>
      <c r="G60" s="48"/>
      <c r="H60" s="49"/>
      <c r="I60" s="50"/>
      <c r="J60" s="50"/>
      <c r="K60" s="50"/>
      <c r="L60" s="50"/>
      <c r="M60" s="50"/>
      <c r="N60" s="50"/>
      <c r="O60" s="50"/>
      <c r="P60" s="50"/>
      <c r="Q60" s="50"/>
      <c r="R60" s="51"/>
      <c r="S60" s="57" t="str">
        <f>IFERROR(ROUNDUP(#REF!*#REF!/#REF!,#REF!)-AR60,"")</f>
        <v/>
      </c>
      <c r="T60" s="57"/>
      <c r="U60" s="57"/>
      <c r="V60" s="57"/>
      <c r="W60" s="57"/>
      <c r="X60" s="57"/>
      <c r="Y60" s="58"/>
      <c r="Z60" s="62"/>
      <c r="AA60" s="63"/>
      <c r="AB60" s="63"/>
      <c r="AC60" s="64"/>
      <c r="AD60" s="60"/>
      <c r="AE60" s="60"/>
      <c r="AF60" s="60"/>
      <c r="AG60" s="60"/>
      <c r="AH60" s="61"/>
      <c r="AK60" s="1"/>
      <c r="AL60" s="12"/>
      <c r="AM60" s="12"/>
      <c r="AN60" s="18"/>
      <c r="AO60" s="13"/>
      <c r="AP60" s="19"/>
      <c r="AQ60" s="1"/>
      <c r="AR60" s="23"/>
      <c r="AS60" s="25"/>
    </row>
    <row r="61" spans="1:46" s="17" customFormat="1" ht="16" customHeight="1" x14ac:dyDescent="0.3">
      <c r="B61" s="16">
        <v>15</v>
      </c>
      <c r="C61" s="46"/>
      <c r="D61" s="47"/>
      <c r="E61" s="47"/>
      <c r="F61" s="47"/>
      <c r="G61" s="48"/>
      <c r="H61" s="49"/>
      <c r="I61" s="50"/>
      <c r="J61" s="50"/>
      <c r="K61" s="50"/>
      <c r="L61" s="50"/>
      <c r="M61" s="50"/>
      <c r="N61" s="50"/>
      <c r="O61" s="50"/>
      <c r="P61" s="50"/>
      <c r="Q61" s="50"/>
      <c r="R61" s="51"/>
      <c r="S61" s="57"/>
      <c r="T61" s="57"/>
      <c r="U61" s="57"/>
      <c r="V61" s="57"/>
      <c r="W61" s="57"/>
      <c r="X61" s="57"/>
      <c r="Y61" s="58"/>
      <c r="Z61" s="59"/>
      <c r="AA61" s="60"/>
      <c r="AB61" s="60"/>
      <c r="AC61" s="60"/>
      <c r="AD61" s="60"/>
      <c r="AE61" s="60"/>
      <c r="AF61" s="60"/>
      <c r="AG61" s="60"/>
      <c r="AH61" s="61"/>
      <c r="AK61" s="1"/>
      <c r="AL61" s="12"/>
      <c r="AM61" s="12"/>
      <c r="AN61" s="18"/>
      <c r="AO61" s="13"/>
      <c r="AP61" s="19"/>
      <c r="AQ61" s="1"/>
      <c r="AR61" s="23"/>
      <c r="AS61" s="25"/>
    </row>
    <row r="62" spans="1:46" s="17" customFormat="1" ht="16" customHeight="1" thickBot="1" x14ac:dyDescent="0.35">
      <c r="B62" s="26"/>
      <c r="C62" s="46"/>
      <c r="D62" s="47"/>
      <c r="E62" s="47"/>
      <c r="F62" s="47"/>
      <c r="G62" s="48"/>
      <c r="H62" s="49"/>
      <c r="I62" s="50"/>
      <c r="J62" s="50"/>
      <c r="K62" s="50"/>
      <c r="L62" s="50"/>
      <c r="M62" s="50"/>
      <c r="N62" s="50"/>
      <c r="O62" s="50"/>
      <c r="P62" s="50"/>
      <c r="Q62" s="50"/>
      <c r="R62" s="51"/>
      <c r="S62" s="52"/>
      <c r="T62" s="52"/>
      <c r="U62" s="52"/>
      <c r="V62" s="52"/>
      <c r="W62" s="52"/>
      <c r="X62" s="52"/>
      <c r="Y62" s="53"/>
      <c r="Z62" s="54"/>
      <c r="AA62" s="55"/>
      <c r="AB62" s="55"/>
      <c r="AC62" s="55"/>
      <c r="AD62" s="55"/>
      <c r="AE62" s="55"/>
      <c r="AF62" s="55"/>
      <c r="AG62" s="55"/>
      <c r="AH62" s="56"/>
      <c r="AK62" s="1"/>
      <c r="AL62" s="12" t="s">
        <v>47</v>
      </c>
      <c r="AM62" s="12"/>
      <c r="AN62" s="18"/>
      <c r="AO62" s="19">
        <f>SUM(AO47:AO61)</f>
        <v>0</v>
      </c>
      <c r="AP62" s="19">
        <f>SUM(AP47:AP61)</f>
        <v>0</v>
      </c>
      <c r="AQ62" s="1"/>
      <c r="AR62" s="27"/>
      <c r="AS62" s="28"/>
    </row>
    <row r="63" spans="1:46" s="17" customFormat="1" ht="15" customHeight="1" thickTop="1" thickBot="1" x14ac:dyDescent="0.35">
      <c r="B63" s="39" t="s">
        <v>23</v>
      </c>
      <c r="C63" s="40"/>
      <c r="D63" s="40"/>
      <c r="E63" s="40"/>
      <c r="F63" s="40"/>
      <c r="G63" s="41"/>
      <c r="H63" s="42" t="s">
        <v>48</v>
      </c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4"/>
      <c r="AK63" s="1"/>
      <c r="AL63" s="1"/>
      <c r="AM63" s="1"/>
      <c r="AN63" s="29"/>
      <c r="AO63" s="30"/>
      <c r="AP63" s="30"/>
      <c r="AQ63" s="30"/>
      <c r="AR63" s="30"/>
      <c r="AS63" s="30"/>
      <c r="AT63" s="30"/>
    </row>
    <row r="64" spans="1:46" ht="13.5" thickTop="1" x14ac:dyDescent="0.3">
      <c r="W64" s="45" t="s">
        <v>49</v>
      </c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</row>
  </sheetData>
  <protectedRanges>
    <protectedRange sqref="C12:AH26" name="Range1"/>
    <protectedRange sqref="C47:AH61" name="Range2"/>
    <protectedRange sqref="P7:P8 H7:H8 H42:H43 P42:P43" name="Range3"/>
  </protectedRanges>
  <mergeCells count="262">
    <mergeCell ref="W2:Y2"/>
    <mergeCell ref="Z2:AB2"/>
    <mergeCell ref="AC2:AE2"/>
    <mergeCell ref="AF2:AH2"/>
    <mergeCell ref="W3:Y4"/>
    <mergeCell ref="Z3:AB7"/>
    <mergeCell ref="AC3:AE7"/>
    <mergeCell ref="AF3:AH7"/>
    <mergeCell ref="B4:E4"/>
    <mergeCell ref="F4:K4"/>
    <mergeCell ref="L4:N4"/>
    <mergeCell ref="O4:V4"/>
    <mergeCell ref="B5:D5"/>
    <mergeCell ref="E5:K5"/>
    <mergeCell ref="L5:N5"/>
    <mergeCell ref="O5:V5"/>
    <mergeCell ref="B2:F3"/>
    <mergeCell ref="G2:V3"/>
    <mergeCell ref="B10:Y10"/>
    <mergeCell ref="Z10:AH10"/>
    <mergeCell ref="C11:G11"/>
    <mergeCell ref="H11:R11"/>
    <mergeCell ref="S11:V11"/>
    <mergeCell ref="W11:Y11"/>
    <mergeCell ref="Z11:AC11"/>
    <mergeCell ref="AD11:AH11"/>
    <mergeCell ref="W5:Y7"/>
    <mergeCell ref="B6:E9"/>
    <mergeCell ref="W8:Y9"/>
    <mergeCell ref="Z8:AB9"/>
    <mergeCell ref="AC8:AE9"/>
    <mergeCell ref="AF8:AH9"/>
    <mergeCell ref="C13:G13"/>
    <mergeCell ref="H13:R13"/>
    <mergeCell ref="S13:V13"/>
    <mergeCell ref="W13:Y13"/>
    <mergeCell ref="Z13:AC13"/>
    <mergeCell ref="AD13:AH13"/>
    <mergeCell ref="C12:G12"/>
    <mergeCell ref="H12:R12"/>
    <mergeCell ref="S12:V12"/>
    <mergeCell ref="W12:Y12"/>
    <mergeCell ref="Z12:AC12"/>
    <mergeCell ref="AD12:AH12"/>
    <mergeCell ref="C15:G15"/>
    <mergeCell ref="H15:R15"/>
    <mergeCell ref="S15:V15"/>
    <mergeCell ref="W15:Y15"/>
    <mergeCell ref="Z15:AC15"/>
    <mergeCell ref="AD15:AH15"/>
    <mergeCell ref="C14:G14"/>
    <mergeCell ref="H14:R14"/>
    <mergeCell ref="S14:V14"/>
    <mergeCell ref="W14:Y14"/>
    <mergeCell ref="Z14:AC14"/>
    <mergeCell ref="AD14:AH14"/>
    <mergeCell ref="C17:G17"/>
    <mergeCell ref="H17:R17"/>
    <mergeCell ref="S17:V17"/>
    <mergeCell ref="W17:Y17"/>
    <mergeCell ref="Z17:AC17"/>
    <mergeCell ref="AD17:AH17"/>
    <mergeCell ref="C16:G16"/>
    <mergeCell ref="H16:R16"/>
    <mergeCell ref="S16:V16"/>
    <mergeCell ref="W16:Y16"/>
    <mergeCell ref="Z16:AC16"/>
    <mergeCell ref="AD16:AH16"/>
    <mergeCell ref="C19:G19"/>
    <mergeCell ref="H19:R19"/>
    <mergeCell ref="S19:V19"/>
    <mergeCell ref="W19:Y19"/>
    <mergeCell ref="Z19:AC19"/>
    <mergeCell ref="AD19:AH19"/>
    <mergeCell ref="C18:G18"/>
    <mergeCell ref="H18:R18"/>
    <mergeCell ref="S18:V18"/>
    <mergeCell ref="W18:Y18"/>
    <mergeCell ref="Z18:AC18"/>
    <mergeCell ref="AD18:AH18"/>
    <mergeCell ref="C21:G21"/>
    <mergeCell ref="H21:R21"/>
    <mergeCell ref="S21:V21"/>
    <mergeCell ref="W21:Y21"/>
    <mergeCell ref="Z21:AC21"/>
    <mergeCell ref="AD21:AH21"/>
    <mergeCell ref="C20:G20"/>
    <mergeCell ref="H20:R20"/>
    <mergeCell ref="S20:V20"/>
    <mergeCell ref="W20:Y20"/>
    <mergeCell ref="Z20:AC20"/>
    <mergeCell ref="AD20:AH20"/>
    <mergeCell ref="C23:G23"/>
    <mergeCell ref="H23:R23"/>
    <mergeCell ref="S23:V23"/>
    <mergeCell ref="W23:Y23"/>
    <mergeCell ref="Z23:AC23"/>
    <mergeCell ref="AD23:AH23"/>
    <mergeCell ref="C22:G22"/>
    <mergeCell ref="H22:R22"/>
    <mergeCell ref="S22:V22"/>
    <mergeCell ref="W22:Y22"/>
    <mergeCell ref="Z22:AC22"/>
    <mergeCell ref="AD22:AH22"/>
    <mergeCell ref="C25:G25"/>
    <mergeCell ref="H25:R25"/>
    <mergeCell ref="S25:V25"/>
    <mergeCell ref="W25:Y25"/>
    <mergeCell ref="Z25:AC25"/>
    <mergeCell ref="AD25:AH25"/>
    <mergeCell ref="C24:G24"/>
    <mergeCell ref="H24:R24"/>
    <mergeCell ref="S24:V24"/>
    <mergeCell ref="W24:Y24"/>
    <mergeCell ref="Z24:AC24"/>
    <mergeCell ref="AD24:AH24"/>
    <mergeCell ref="C27:G27"/>
    <mergeCell ref="H27:R27"/>
    <mergeCell ref="S27:V27"/>
    <mergeCell ref="W27:Y27"/>
    <mergeCell ref="Z27:AC27"/>
    <mergeCell ref="AD27:AH27"/>
    <mergeCell ref="C26:G26"/>
    <mergeCell ref="H26:R26"/>
    <mergeCell ref="S26:V26"/>
    <mergeCell ref="W26:Y26"/>
    <mergeCell ref="Z26:AC26"/>
    <mergeCell ref="AD26:AH26"/>
    <mergeCell ref="B28:G28"/>
    <mergeCell ref="H28:AH28"/>
    <mergeCell ref="W29:AH29"/>
    <mergeCell ref="B37:F38"/>
    <mergeCell ref="G37:V38"/>
    <mergeCell ref="W37:Y37"/>
    <mergeCell ref="Z37:AB37"/>
    <mergeCell ref="AC37:AE37"/>
    <mergeCell ref="AF37:AH37"/>
    <mergeCell ref="W38:Y39"/>
    <mergeCell ref="O40:V40"/>
    <mergeCell ref="W40:Y42"/>
    <mergeCell ref="B41:E44"/>
    <mergeCell ref="W43:Y44"/>
    <mergeCell ref="Z43:AB44"/>
    <mergeCell ref="AC43:AE44"/>
    <mergeCell ref="Z38:AB42"/>
    <mergeCell ref="AC38:AE42"/>
    <mergeCell ref="AF38:AH42"/>
    <mergeCell ref="B39:E39"/>
    <mergeCell ref="F39:K39"/>
    <mergeCell ref="L39:N39"/>
    <mergeCell ref="O39:V39"/>
    <mergeCell ref="B40:D40"/>
    <mergeCell ref="E40:K40"/>
    <mergeCell ref="L40:N40"/>
    <mergeCell ref="C47:G47"/>
    <mergeCell ref="H47:R47"/>
    <mergeCell ref="S47:V47"/>
    <mergeCell ref="W47:Y47"/>
    <mergeCell ref="Z47:AC47"/>
    <mergeCell ref="AD47:AH47"/>
    <mergeCell ref="AF43:AH44"/>
    <mergeCell ref="B45:Y45"/>
    <mergeCell ref="Z45:AH45"/>
    <mergeCell ref="C46:G46"/>
    <mergeCell ref="H46:R46"/>
    <mergeCell ref="S46:V46"/>
    <mergeCell ref="W46:Y46"/>
    <mergeCell ref="Z46:AC46"/>
    <mergeCell ref="AD46:AH46"/>
    <mergeCell ref="C49:G49"/>
    <mergeCell ref="H49:R49"/>
    <mergeCell ref="S49:V49"/>
    <mergeCell ref="W49:Y49"/>
    <mergeCell ref="Z49:AC49"/>
    <mergeCell ref="AD49:AH49"/>
    <mergeCell ref="C48:G48"/>
    <mergeCell ref="H48:R48"/>
    <mergeCell ref="S48:V48"/>
    <mergeCell ref="W48:Y48"/>
    <mergeCell ref="Z48:AC48"/>
    <mergeCell ref="AD48:AH48"/>
    <mergeCell ref="C51:G51"/>
    <mergeCell ref="H51:R51"/>
    <mergeCell ref="S51:V51"/>
    <mergeCell ref="W51:Y51"/>
    <mergeCell ref="Z51:AC51"/>
    <mergeCell ref="AD51:AH51"/>
    <mergeCell ref="C50:G50"/>
    <mergeCell ref="H50:R50"/>
    <mergeCell ref="S50:V50"/>
    <mergeCell ref="W50:Y50"/>
    <mergeCell ref="Z50:AC50"/>
    <mergeCell ref="AD50:AH50"/>
    <mergeCell ref="C53:G53"/>
    <mergeCell ref="H53:R53"/>
    <mergeCell ref="S53:V53"/>
    <mergeCell ref="W53:Y53"/>
    <mergeCell ref="Z53:AC53"/>
    <mergeCell ref="AD53:AH53"/>
    <mergeCell ref="C52:G52"/>
    <mergeCell ref="H52:R52"/>
    <mergeCell ref="S52:V52"/>
    <mergeCell ref="W52:Y52"/>
    <mergeCell ref="Z52:AC52"/>
    <mergeCell ref="AD52:AH52"/>
    <mergeCell ref="C55:G55"/>
    <mergeCell ref="H55:R55"/>
    <mergeCell ref="S55:V55"/>
    <mergeCell ref="W55:Y55"/>
    <mergeCell ref="Z55:AC55"/>
    <mergeCell ref="AD55:AH55"/>
    <mergeCell ref="C54:G54"/>
    <mergeCell ref="H54:R54"/>
    <mergeCell ref="S54:V54"/>
    <mergeCell ref="W54:Y54"/>
    <mergeCell ref="Z54:AC54"/>
    <mergeCell ref="AD54:AH54"/>
    <mergeCell ref="C57:G57"/>
    <mergeCell ref="H57:R57"/>
    <mergeCell ref="S57:V57"/>
    <mergeCell ref="W57:Y57"/>
    <mergeCell ref="Z57:AC57"/>
    <mergeCell ref="AD57:AH57"/>
    <mergeCell ref="C56:G56"/>
    <mergeCell ref="H56:R56"/>
    <mergeCell ref="S56:V56"/>
    <mergeCell ref="W56:Y56"/>
    <mergeCell ref="Z56:AC56"/>
    <mergeCell ref="AD56:AH56"/>
    <mergeCell ref="C59:G59"/>
    <mergeCell ref="H59:R59"/>
    <mergeCell ref="S59:V59"/>
    <mergeCell ref="W59:Y59"/>
    <mergeCell ref="Z59:AC59"/>
    <mergeCell ref="AD59:AH59"/>
    <mergeCell ref="C58:G58"/>
    <mergeCell ref="H58:R58"/>
    <mergeCell ref="S58:V58"/>
    <mergeCell ref="W58:Y58"/>
    <mergeCell ref="Z58:AC58"/>
    <mergeCell ref="AD58:AH58"/>
    <mergeCell ref="C61:G61"/>
    <mergeCell ref="H61:R61"/>
    <mergeCell ref="S61:V61"/>
    <mergeCell ref="W61:Y61"/>
    <mergeCell ref="Z61:AC61"/>
    <mergeCell ref="AD61:AH61"/>
    <mergeCell ref="C60:G60"/>
    <mergeCell ref="H60:R60"/>
    <mergeCell ref="S60:V60"/>
    <mergeCell ref="W60:Y60"/>
    <mergeCell ref="Z60:AC60"/>
    <mergeCell ref="AD60:AH60"/>
    <mergeCell ref="B63:G63"/>
    <mergeCell ref="H63:AH63"/>
    <mergeCell ref="W64:AH64"/>
    <mergeCell ref="C62:G62"/>
    <mergeCell ref="H62:R62"/>
    <mergeCell ref="S62:V62"/>
    <mergeCell ref="W62:Y62"/>
    <mergeCell ref="Z62:AC62"/>
    <mergeCell ref="AD62:AH62"/>
  </mergeCells>
  <dataValidations count="1">
    <dataValidation type="list" allowBlank="1" showInputMessage="1" showErrorMessage="1" sqref="P7:P8 H7:H8 H42:H43 P42:P43" xr:uid="{5B45898A-EEA9-4104-B668-C77FF291F3BD}">
      <formula1>$BZ$2:$BZ$7</formula1>
    </dataValidation>
  </dataValidations>
  <printOptions horizontalCentered="1" verticalCentered="1"/>
  <pageMargins left="0" right="0" top="0" bottom="0" header="0" footer="0"/>
  <pageSetup paperSize="9" scale="95" fitToWidth="0" orientation="portrait" r:id="rId1"/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1921-94C1-4E4C-ACDA-FF44F6CD6EF7}">
  <sheetPr codeName="Sheet9">
    <pageSetUpPr fitToPage="1"/>
  </sheetPr>
  <dimension ref="A1:BZ64"/>
  <sheetViews>
    <sheetView view="pageBreakPreview" topLeftCell="B2" zoomScale="130" zoomScaleNormal="90" zoomScaleSheetLayoutView="130" workbookViewId="0">
      <selection activeCell="H15" sqref="H15:R15"/>
    </sheetView>
  </sheetViews>
  <sheetFormatPr defaultColWidth="3" defaultRowHeight="13" x14ac:dyDescent="0.3"/>
  <cols>
    <col min="1" max="1" width="0.81640625" style="1" hidden="1" customWidth="1"/>
    <col min="2" max="14" width="3" style="1"/>
    <col min="15" max="22" width="3" style="1" customWidth="1"/>
    <col min="23" max="23" width="3.54296875" style="1" customWidth="1"/>
    <col min="24" max="24" width="3.81640625" style="1" customWidth="1"/>
    <col min="25" max="25" width="3.54296875" style="1" customWidth="1"/>
    <col min="26" max="33" width="3" style="1"/>
    <col min="34" max="34" width="3" style="1" customWidth="1"/>
    <col min="35" max="35" width="0.81640625" style="1" customWidth="1"/>
    <col min="36" max="36" width="1.453125" style="1" customWidth="1"/>
    <col min="37" max="37" width="1.54296875" style="1" customWidth="1"/>
    <col min="38" max="38" width="12" style="1" hidden="1" customWidth="1"/>
    <col min="39" max="39" width="13.54296875" style="1" hidden="1" customWidth="1"/>
    <col min="40" max="40" width="12.453125" style="1" hidden="1" customWidth="1"/>
    <col min="41" max="41" width="8.453125" style="1" hidden="1" customWidth="1"/>
    <col min="42" max="42" width="9.1796875" style="1" hidden="1" customWidth="1"/>
    <col min="43" max="43" width="2.54296875" style="1" hidden="1" customWidth="1"/>
    <col min="44" max="44" width="9.54296875" style="2" hidden="1" customWidth="1"/>
    <col min="45" max="45" width="12.54296875" style="2" hidden="1" customWidth="1"/>
    <col min="46" max="55" width="3" style="1" hidden="1" customWidth="1"/>
    <col min="56" max="57" width="3" style="1"/>
    <col min="58" max="60" width="3" style="1" hidden="1" customWidth="1"/>
    <col min="61" max="74" width="3" style="1"/>
    <col min="75" max="75" width="3" style="1" customWidth="1"/>
    <col min="76" max="77" width="3" style="1"/>
    <col min="78" max="78" width="0" style="1" hidden="1" customWidth="1"/>
    <col min="79" max="16384" width="3" style="1"/>
  </cols>
  <sheetData>
    <row r="1" spans="2:78" ht="4" hidden="1" customHeight="1" thickBot="1" x14ac:dyDescent="0.35"/>
    <row r="2" spans="2:78" ht="13" customHeight="1" thickTop="1" x14ac:dyDescent="0.3">
      <c r="B2" s="120"/>
      <c r="C2" s="121"/>
      <c r="D2" s="121"/>
      <c r="E2" s="121"/>
      <c r="F2" s="121"/>
      <c r="G2" s="124" t="s">
        <v>0</v>
      </c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60"/>
      <c r="W2" s="128" t="s">
        <v>1</v>
      </c>
      <c r="X2" s="129"/>
      <c r="Y2" s="129"/>
      <c r="Z2" s="129" t="s">
        <v>2</v>
      </c>
      <c r="AA2" s="129"/>
      <c r="AB2" s="129"/>
      <c r="AC2" s="129" t="s">
        <v>3</v>
      </c>
      <c r="AD2" s="129"/>
      <c r="AE2" s="129"/>
      <c r="AF2" s="130" t="s">
        <v>4</v>
      </c>
      <c r="AG2" s="130"/>
      <c r="AH2" s="131"/>
      <c r="BZ2" s="3"/>
    </row>
    <row r="3" spans="2:78" ht="13" customHeight="1" x14ac:dyDescent="0.3">
      <c r="B3" s="122"/>
      <c r="C3" s="123"/>
      <c r="D3" s="123"/>
      <c r="E3" s="123"/>
      <c r="F3" s="123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61"/>
      <c r="W3" s="153"/>
      <c r="X3" s="154"/>
      <c r="Y3" s="155"/>
      <c r="Z3" s="107"/>
      <c r="AA3" s="107"/>
      <c r="AB3" s="107"/>
      <c r="AC3" s="107"/>
      <c r="AD3" s="107"/>
      <c r="AE3" s="107"/>
      <c r="AF3" s="107"/>
      <c r="AG3" s="107"/>
      <c r="AH3" s="108"/>
      <c r="BZ3" s="3" t="s">
        <v>5</v>
      </c>
    </row>
    <row r="4" spans="2:78" ht="14.15" customHeight="1" x14ac:dyDescent="0.3">
      <c r="B4" s="109" t="s">
        <v>6</v>
      </c>
      <c r="C4" s="110"/>
      <c r="D4" s="110"/>
      <c r="E4" s="110"/>
      <c r="F4" s="111"/>
      <c r="G4" s="111"/>
      <c r="H4" s="111"/>
      <c r="I4" s="111"/>
      <c r="J4" s="111"/>
      <c r="K4" s="112"/>
      <c r="L4" s="113" t="s">
        <v>7</v>
      </c>
      <c r="M4" s="110"/>
      <c r="N4" s="114"/>
      <c r="O4" s="156"/>
      <c r="P4" s="157"/>
      <c r="Q4" s="157"/>
      <c r="R4" s="157"/>
      <c r="S4" s="157"/>
      <c r="T4" s="157"/>
      <c r="U4" s="157"/>
      <c r="V4" s="157"/>
      <c r="W4" s="147"/>
      <c r="X4" s="148"/>
      <c r="Y4" s="149"/>
      <c r="Z4" s="107"/>
      <c r="AA4" s="107"/>
      <c r="AB4" s="107"/>
      <c r="AC4" s="107"/>
      <c r="AD4" s="107"/>
      <c r="AE4" s="107"/>
      <c r="AF4" s="107"/>
      <c r="AG4" s="107"/>
      <c r="AH4" s="108"/>
    </row>
    <row r="5" spans="2:78" ht="14.15" customHeight="1" x14ac:dyDescent="0.3">
      <c r="B5" s="117" t="s">
        <v>8</v>
      </c>
      <c r="C5" s="118"/>
      <c r="D5" s="118"/>
      <c r="E5" s="119" t="s">
        <v>9</v>
      </c>
      <c r="F5" s="119"/>
      <c r="G5" s="119"/>
      <c r="H5" s="119"/>
      <c r="I5" s="119"/>
      <c r="J5" s="119"/>
      <c r="K5" s="119"/>
      <c r="L5" s="118" t="s">
        <v>10</v>
      </c>
      <c r="M5" s="118"/>
      <c r="N5" s="118"/>
      <c r="O5" s="158"/>
      <c r="P5" s="158"/>
      <c r="Q5" s="158"/>
      <c r="R5" s="158"/>
      <c r="S5" s="158"/>
      <c r="T5" s="158"/>
      <c r="U5" s="158"/>
      <c r="V5" s="159"/>
      <c r="W5" s="147"/>
      <c r="X5" s="148"/>
      <c r="Y5" s="149"/>
      <c r="Z5" s="107"/>
      <c r="AA5" s="107"/>
      <c r="AB5" s="107"/>
      <c r="AC5" s="107"/>
      <c r="AD5" s="107"/>
      <c r="AE5" s="107"/>
      <c r="AF5" s="107"/>
      <c r="AG5" s="107"/>
      <c r="AH5" s="108"/>
    </row>
    <row r="6" spans="2:78" ht="5.15" customHeight="1" x14ac:dyDescent="0.3">
      <c r="B6" s="99"/>
      <c r="C6" s="100"/>
      <c r="D6" s="100"/>
      <c r="E6" s="100"/>
      <c r="F6" s="4"/>
      <c r="G6" s="4"/>
      <c r="H6" s="4"/>
      <c r="I6" s="4"/>
      <c r="J6" s="4"/>
      <c r="K6" s="4"/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147"/>
      <c r="X6" s="148"/>
      <c r="Y6" s="149"/>
      <c r="Z6" s="107"/>
      <c r="AA6" s="107"/>
      <c r="AB6" s="107"/>
      <c r="AC6" s="107"/>
      <c r="AD6" s="107"/>
      <c r="AE6" s="107"/>
      <c r="AF6" s="107"/>
      <c r="AG6" s="107"/>
      <c r="AH6" s="108"/>
    </row>
    <row r="7" spans="2:78" ht="15.65" customHeight="1" x14ac:dyDescent="0.3">
      <c r="B7" s="101"/>
      <c r="C7" s="102"/>
      <c r="D7" s="102"/>
      <c r="E7" s="102"/>
      <c r="F7" s="7"/>
      <c r="G7" s="7"/>
      <c r="H7" s="8"/>
      <c r="I7" s="7" t="s">
        <v>11</v>
      </c>
      <c r="J7" s="7"/>
      <c r="K7" s="7"/>
      <c r="L7" s="7"/>
      <c r="M7" s="7"/>
      <c r="N7" s="7"/>
      <c r="O7" s="7"/>
      <c r="P7" s="8"/>
      <c r="Q7" s="7" t="s">
        <v>12</v>
      </c>
      <c r="R7" s="7"/>
      <c r="S7" s="7"/>
      <c r="T7" s="7"/>
      <c r="U7" s="7"/>
      <c r="V7" s="7"/>
      <c r="W7" s="150"/>
      <c r="X7" s="151"/>
      <c r="Y7" s="152"/>
      <c r="Z7" s="107"/>
      <c r="AA7" s="107"/>
      <c r="AB7" s="107"/>
      <c r="AC7" s="107"/>
      <c r="AD7" s="107"/>
      <c r="AE7" s="107"/>
      <c r="AF7" s="107"/>
      <c r="AG7" s="107"/>
      <c r="AH7" s="108"/>
    </row>
    <row r="8" spans="2:78" ht="18" customHeight="1" x14ac:dyDescent="0.3">
      <c r="B8" s="101"/>
      <c r="C8" s="102"/>
      <c r="D8" s="102"/>
      <c r="E8" s="102"/>
      <c r="F8" s="7"/>
      <c r="G8" s="7"/>
      <c r="H8" s="8"/>
      <c r="I8" s="7" t="s">
        <v>13</v>
      </c>
      <c r="J8" s="7"/>
      <c r="K8" s="7"/>
      <c r="L8" s="7"/>
      <c r="M8" s="7"/>
      <c r="N8" s="7"/>
      <c r="O8" s="7"/>
      <c r="P8" s="8"/>
      <c r="Q8" s="7" t="s">
        <v>14</v>
      </c>
      <c r="R8" s="7"/>
      <c r="S8" s="7"/>
      <c r="T8" s="7"/>
      <c r="U8" s="7"/>
      <c r="V8" s="7"/>
      <c r="W8" s="105" t="s">
        <v>15</v>
      </c>
      <c r="X8" s="81"/>
      <c r="Y8" s="81"/>
      <c r="Z8" s="81" t="s">
        <v>15</v>
      </c>
      <c r="AA8" s="81"/>
      <c r="AB8" s="81"/>
      <c r="AC8" s="81" t="s">
        <v>15</v>
      </c>
      <c r="AD8" s="81"/>
      <c r="AE8" s="81"/>
      <c r="AF8" s="81" t="s">
        <v>15</v>
      </c>
      <c r="AG8" s="81"/>
      <c r="AH8" s="82"/>
    </row>
    <row r="9" spans="2:78" ht="5.15" customHeight="1" thickBot="1" x14ac:dyDescent="0.35">
      <c r="B9" s="103"/>
      <c r="C9" s="104"/>
      <c r="D9" s="104"/>
      <c r="E9" s="104"/>
      <c r="F9" s="9"/>
      <c r="G9" s="9"/>
      <c r="H9" s="9"/>
      <c r="I9" s="9"/>
      <c r="J9" s="9"/>
      <c r="K9" s="9"/>
      <c r="L9" s="9"/>
      <c r="M9" s="9"/>
      <c r="N9" s="9"/>
      <c r="O9" s="9"/>
      <c r="P9" s="10"/>
      <c r="Q9" s="10"/>
      <c r="R9" s="10"/>
      <c r="S9" s="10"/>
      <c r="T9" s="10"/>
      <c r="U9" s="10"/>
      <c r="V9" s="10"/>
      <c r="W9" s="106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4"/>
    </row>
    <row r="10" spans="2:78" ht="13.5" thickTop="1" x14ac:dyDescent="0.3">
      <c r="B10" s="85" t="s">
        <v>16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7"/>
      <c r="Z10" s="85" t="s">
        <v>17</v>
      </c>
      <c r="AA10" s="86"/>
      <c r="AB10" s="86"/>
      <c r="AC10" s="86"/>
      <c r="AD10" s="86"/>
      <c r="AE10" s="86"/>
      <c r="AF10" s="86"/>
      <c r="AG10" s="86"/>
      <c r="AH10" s="87"/>
      <c r="BE10" s="3"/>
    </row>
    <row r="11" spans="2:78" x14ac:dyDescent="0.3">
      <c r="B11" s="11" t="s">
        <v>18</v>
      </c>
      <c r="C11" s="88" t="s">
        <v>19</v>
      </c>
      <c r="D11" s="88"/>
      <c r="E11" s="88"/>
      <c r="F11" s="88"/>
      <c r="G11" s="88"/>
      <c r="H11" s="88" t="s">
        <v>20</v>
      </c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 t="s">
        <v>21</v>
      </c>
      <c r="T11" s="88"/>
      <c r="U11" s="88"/>
      <c r="V11" s="88"/>
      <c r="W11" s="88" t="s">
        <v>22</v>
      </c>
      <c r="X11" s="88"/>
      <c r="Y11" s="89"/>
      <c r="Z11" s="90" t="s">
        <v>21</v>
      </c>
      <c r="AA11" s="88"/>
      <c r="AB11" s="88"/>
      <c r="AC11" s="88"/>
      <c r="AD11" s="88" t="s">
        <v>23</v>
      </c>
      <c r="AE11" s="88"/>
      <c r="AF11" s="88"/>
      <c r="AG11" s="88"/>
      <c r="AH11" s="89"/>
      <c r="AL11" s="12" t="s">
        <v>19</v>
      </c>
      <c r="AM11" s="12" t="s">
        <v>20</v>
      </c>
      <c r="AN11" s="12" t="s">
        <v>24</v>
      </c>
      <c r="AO11" s="13" t="s">
        <v>25</v>
      </c>
      <c r="AP11" s="14" t="s">
        <v>26</v>
      </c>
      <c r="AR11" s="15" t="s">
        <v>27</v>
      </c>
      <c r="AS11" s="15" t="s">
        <v>28</v>
      </c>
    </row>
    <row r="12" spans="2:78" s="17" customFormat="1" ht="16" customHeight="1" x14ac:dyDescent="0.3">
      <c r="B12" s="16">
        <v>1</v>
      </c>
      <c r="C12" s="57"/>
      <c r="D12" s="57"/>
      <c r="E12" s="57"/>
      <c r="F12" s="57"/>
      <c r="G12" s="57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57"/>
      <c r="T12" s="57"/>
      <c r="U12" s="57"/>
      <c r="V12" s="57"/>
      <c r="W12" s="57"/>
      <c r="X12" s="57"/>
      <c r="Y12" s="58"/>
      <c r="Z12" s="78"/>
      <c r="AA12" s="78"/>
      <c r="AB12" s="78"/>
      <c r="AC12" s="78"/>
      <c r="AD12" s="76"/>
      <c r="AE12" s="76"/>
      <c r="AF12" s="76"/>
      <c r="AG12" s="76"/>
      <c r="AH12" s="77"/>
      <c r="AK12" s="1"/>
      <c r="AL12" s="12" t="s">
        <v>29</v>
      </c>
      <c r="AM12" s="12" t="s">
        <v>30</v>
      </c>
      <c r="AN12" s="18">
        <f>480*1350</f>
        <v>648000</v>
      </c>
      <c r="AO12" s="13">
        <v>2</v>
      </c>
      <c r="AP12" s="19">
        <f>AO12*AN12</f>
        <v>1296000</v>
      </c>
      <c r="AQ12" s="1"/>
      <c r="AR12" s="20"/>
      <c r="AS12" s="21"/>
    </row>
    <row r="13" spans="2:78" s="17" customFormat="1" ht="16" customHeight="1" x14ac:dyDescent="0.3">
      <c r="B13" s="16">
        <v>2</v>
      </c>
      <c r="C13" s="57"/>
      <c r="D13" s="57"/>
      <c r="E13" s="57"/>
      <c r="F13" s="57"/>
      <c r="G13" s="57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57"/>
      <c r="T13" s="57"/>
      <c r="U13" s="57"/>
      <c r="V13" s="57"/>
      <c r="W13" s="57"/>
      <c r="X13" s="57"/>
      <c r="Y13" s="58"/>
      <c r="Z13" s="78"/>
      <c r="AA13" s="78"/>
      <c r="AB13" s="78"/>
      <c r="AC13" s="78"/>
      <c r="AD13" s="79"/>
      <c r="AE13" s="79"/>
      <c r="AF13" s="79"/>
      <c r="AG13" s="79"/>
      <c r="AH13" s="80"/>
      <c r="AK13" s="1"/>
      <c r="AL13" s="12" t="s">
        <v>31</v>
      </c>
      <c r="AM13" s="12" t="s">
        <v>32</v>
      </c>
      <c r="AN13" s="18">
        <f t="shared" ref="AN13:AN15" si="0">480*1350</f>
        <v>648000</v>
      </c>
      <c r="AO13" s="13"/>
      <c r="AP13" s="19">
        <f t="shared" ref="AP13:AP19" si="1">AO13*AN13</f>
        <v>0</v>
      </c>
      <c r="AQ13" s="1"/>
      <c r="AR13" s="20"/>
      <c r="AS13" s="21"/>
    </row>
    <row r="14" spans="2:78" s="17" customFormat="1" ht="16" customHeight="1" x14ac:dyDescent="0.3">
      <c r="B14" s="16">
        <v>3</v>
      </c>
      <c r="C14" s="57"/>
      <c r="D14" s="57"/>
      <c r="E14" s="57"/>
      <c r="F14" s="57"/>
      <c r="G14" s="57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57"/>
      <c r="T14" s="57"/>
      <c r="U14" s="57"/>
      <c r="V14" s="57"/>
      <c r="W14" s="57"/>
      <c r="X14" s="57"/>
      <c r="Y14" s="58"/>
      <c r="Z14" s="78"/>
      <c r="AA14" s="78"/>
      <c r="AB14" s="78"/>
      <c r="AC14" s="78"/>
      <c r="AD14" s="57"/>
      <c r="AE14" s="57"/>
      <c r="AF14" s="57"/>
      <c r="AG14" s="57"/>
      <c r="AH14" s="58"/>
      <c r="AK14" s="1"/>
      <c r="AL14" s="12" t="s">
        <v>33</v>
      </c>
      <c r="AM14" s="12" t="s">
        <v>34</v>
      </c>
      <c r="AN14" s="18">
        <f t="shared" si="0"/>
        <v>648000</v>
      </c>
      <c r="AO14" s="13"/>
      <c r="AP14" s="19">
        <f t="shared" si="1"/>
        <v>0</v>
      </c>
      <c r="AQ14" s="1"/>
      <c r="AR14" s="20"/>
      <c r="AS14" s="21"/>
    </row>
    <row r="15" spans="2:78" s="17" customFormat="1" ht="16" customHeight="1" x14ac:dyDescent="0.3">
      <c r="B15" s="16">
        <v>4</v>
      </c>
      <c r="C15" s="57"/>
      <c r="D15" s="57"/>
      <c r="E15" s="57"/>
      <c r="F15" s="57"/>
      <c r="G15" s="57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57"/>
      <c r="T15" s="57"/>
      <c r="U15" s="57"/>
      <c r="V15" s="57"/>
      <c r="W15" s="57"/>
      <c r="X15" s="57"/>
      <c r="Y15" s="58"/>
      <c r="Z15" s="75"/>
      <c r="AA15" s="75"/>
      <c r="AB15" s="75"/>
      <c r="AC15" s="75"/>
      <c r="AD15" s="76"/>
      <c r="AE15" s="76"/>
      <c r="AF15" s="76"/>
      <c r="AG15" s="76"/>
      <c r="AH15" s="77"/>
      <c r="AK15" s="1"/>
      <c r="AL15" s="12" t="s">
        <v>35</v>
      </c>
      <c r="AM15" s="12" t="s">
        <v>36</v>
      </c>
      <c r="AN15" s="18">
        <f t="shared" si="0"/>
        <v>648000</v>
      </c>
      <c r="AO15" s="13"/>
      <c r="AP15" s="19">
        <f t="shared" si="1"/>
        <v>0</v>
      </c>
      <c r="AQ15" s="1"/>
      <c r="AR15" s="20"/>
      <c r="AS15" s="21"/>
    </row>
    <row r="16" spans="2:78" s="17" customFormat="1" ht="16" customHeight="1" x14ac:dyDescent="0.3">
      <c r="B16" s="16">
        <v>5</v>
      </c>
      <c r="C16" s="57"/>
      <c r="D16" s="57"/>
      <c r="E16" s="57"/>
      <c r="F16" s="57"/>
      <c r="G16" s="57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57"/>
      <c r="T16" s="57"/>
      <c r="U16" s="57"/>
      <c r="V16" s="57"/>
      <c r="W16" s="57"/>
      <c r="X16" s="57"/>
      <c r="Y16" s="58"/>
      <c r="Z16" s="75"/>
      <c r="AA16" s="75"/>
      <c r="AB16" s="75"/>
      <c r="AC16" s="75"/>
      <c r="AD16" s="76"/>
      <c r="AE16" s="76"/>
      <c r="AF16" s="76"/>
      <c r="AG16" s="76"/>
      <c r="AH16" s="77"/>
      <c r="AK16" s="1"/>
      <c r="AL16" s="12" t="s">
        <v>37</v>
      </c>
      <c r="AM16" s="12" t="s">
        <v>38</v>
      </c>
      <c r="AN16" s="18">
        <f>480*3655</f>
        <v>1754400</v>
      </c>
      <c r="AO16" s="13"/>
      <c r="AP16" s="19">
        <f t="shared" si="1"/>
        <v>0</v>
      </c>
      <c r="AQ16" s="1"/>
      <c r="AR16" s="20"/>
      <c r="AS16" s="21"/>
    </row>
    <row r="17" spans="1:46" s="17" customFormat="1" ht="16" customHeight="1" x14ac:dyDescent="0.3">
      <c r="B17" s="16">
        <v>6</v>
      </c>
      <c r="C17" s="57"/>
      <c r="D17" s="57"/>
      <c r="E17" s="57"/>
      <c r="F17" s="57"/>
      <c r="G17" s="57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57"/>
      <c r="T17" s="57"/>
      <c r="U17" s="57"/>
      <c r="V17" s="57"/>
      <c r="W17" s="57"/>
      <c r="X17" s="57"/>
      <c r="Y17" s="58"/>
      <c r="Z17" s="75"/>
      <c r="AA17" s="75"/>
      <c r="AB17" s="75"/>
      <c r="AC17" s="75"/>
      <c r="AD17" s="71"/>
      <c r="AE17" s="72"/>
      <c r="AF17" s="72"/>
      <c r="AG17" s="72"/>
      <c r="AH17" s="73"/>
      <c r="AK17" s="1"/>
      <c r="AL17" s="12" t="s">
        <v>39</v>
      </c>
      <c r="AM17" s="12" t="s">
        <v>40</v>
      </c>
      <c r="AN17" s="18">
        <f>480*682</f>
        <v>327360</v>
      </c>
      <c r="AO17" s="13"/>
      <c r="AP17" s="19">
        <f t="shared" si="1"/>
        <v>0</v>
      </c>
      <c r="AQ17" s="1"/>
      <c r="AR17" s="20"/>
      <c r="AS17" s="21"/>
    </row>
    <row r="18" spans="1:46" s="17" customFormat="1" ht="16" customHeight="1" x14ac:dyDescent="0.3">
      <c r="B18" s="16">
        <v>7</v>
      </c>
      <c r="C18" s="57"/>
      <c r="D18" s="57"/>
      <c r="E18" s="57"/>
      <c r="F18" s="57"/>
      <c r="G18" s="57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57"/>
      <c r="T18" s="57"/>
      <c r="U18" s="57"/>
      <c r="V18" s="57"/>
      <c r="W18" s="57"/>
      <c r="X18" s="57"/>
      <c r="Y18" s="58"/>
      <c r="Z18" s="59"/>
      <c r="AA18" s="60"/>
      <c r="AB18" s="60"/>
      <c r="AC18" s="60"/>
      <c r="AD18" s="71"/>
      <c r="AE18" s="72"/>
      <c r="AF18" s="72"/>
      <c r="AG18" s="72"/>
      <c r="AH18" s="73"/>
      <c r="AK18" s="1"/>
      <c r="AL18" s="12" t="s">
        <v>41</v>
      </c>
      <c r="AM18" s="12" t="s">
        <v>42</v>
      </c>
      <c r="AN18" s="18">
        <f>480*682</f>
        <v>327360</v>
      </c>
      <c r="AO18" s="13"/>
      <c r="AP18" s="19">
        <f t="shared" si="1"/>
        <v>0</v>
      </c>
      <c r="AQ18" s="1"/>
      <c r="AR18" s="20"/>
      <c r="AS18" s="22"/>
    </row>
    <row r="19" spans="1:46" s="17" customFormat="1" ht="16" customHeight="1" x14ac:dyDescent="0.3">
      <c r="A19" s="17">
        <v>15</v>
      </c>
      <c r="B19" s="16">
        <v>8</v>
      </c>
      <c r="C19" s="57"/>
      <c r="D19" s="57"/>
      <c r="E19" s="57"/>
      <c r="F19" s="57"/>
      <c r="G19" s="57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57"/>
      <c r="T19" s="57"/>
      <c r="U19" s="57"/>
      <c r="V19" s="57"/>
      <c r="W19" s="57"/>
      <c r="X19" s="57"/>
      <c r="Y19" s="58"/>
      <c r="Z19" s="59"/>
      <c r="AA19" s="60"/>
      <c r="AB19" s="60"/>
      <c r="AC19" s="60"/>
      <c r="AD19" s="60"/>
      <c r="AE19" s="60"/>
      <c r="AF19" s="60"/>
      <c r="AG19" s="60"/>
      <c r="AH19" s="61"/>
      <c r="AK19" s="1"/>
      <c r="AL19" s="12" t="s">
        <v>43</v>
      </c>
      <c r="AM19" s="12" t="s">
        <v>44</v>
      </c>
      <c r="AN19" s="18">
        <f t="shared" ref="AN19" si="2">480*1350</f>
        <v>648000</v>
      </c>
      <c r="AO19" s="13"/>
      <c r="AP19" s="19">
        <f t="shared" si="1"/>
        <v>0</v>
      </c>
      <c r="AQ19" s="1"/>
      <c r="AR19" s="20"/>
      <c r="AS19" s="22"/>
    </row>
    <row r="20" spans="1:46" s="17" customFormat="1" ht="16" customHeight="1" x14ac:dyDescent="0.3">
      <c r="B20" s="16">
        <v>9</v>
      </c>
      <c r="C20" s="57"/>
      <c r="D20" s="57"/>
      <c r="E20" s="57"/>
      <c r="F20" s="57"/>
      <c r="G20" s="57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57"/>
      <c r="T20" s="57"/>
      <c r="U20" s="57"/>
      <c r="V20" s="57"/>
      <c r="W20" s="57"/>
      <c r="X20" s="57"/>
      <c r="Y20" s="58"/>
      <c r="Z20" s="59"/>
      <c r="AA20" s="60"/>
      <c r="AB20" s="60"/>
      <c r="AC20" s="60"/>
      <c r="AD20" s="70"/>
      <c r="AE20" s="60"/>
      <c r="AF20" s="60"/>
      <c r="AG20" s="60"/>
      <c r="AH20" s="61"/>
      <c r="AK20" s="1"/>
      <c r="AL20" s="12" t="s">
        <v>45</v>
      </c>
      <c r="AM20" s="12"/>
      <c r="AN20" s="18"/>
      <c r="AO20" s="13"/>
      <c r="AP20" s="19"/>
      <c r="AQ20" s="1"/>
      <c r="AR20" s="23">
        <v>3</v>
      </c>
      <c r="AS20" s="24">
        <v>2</v>
      </c>
    </row>
    <row r="21" spans="1:46" s="17" customFormat="1" ht="16" customHeight="1" x14ac:dyDescent="0.3">
      <c r="B21" s="16">
        <v>10</v>
      </c>
      <c r="C21" s="57"/>
      <c r="D21" s="57"/>
      <c r="E21" s="57"/>
      <c r="F21" s="57"/>
      <c r="G21" s="57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57"/>
      <c r="T21" s="57"/>
      <c r="U21" s="57"/>
      <c r="V21" s="57"/>
      <c r="W21" s="57"/>
      <c r="X21" s="57"/>
      <c r="Y21" s="58"/>
      <c r="Z21" s="65"/>
      <c r="AA21" s="60"/>
      <c r="AB21" s="60"/>
      <c r="AC21" s="60"/>
      <c r="AD21" s="57"/>
      <c r="AE21" s="57"/>
      <c r="AF21" s="57"/>
      <c r="AG21" s="57"/>
      <c r="AH21" s="58"/>
      <c r="AK21" s="1"/>
      <c r="AL21" s="12" t="s">
        <v>46</v>
      </c>
      <c r="AM21" s="12"/>
      <c r="AN21" s="18"/>
      <c r="AO21" s="13"/>
      <c r="AP21" s="19"/>
      <c r="AQ21" s="1"/>
      <c r="AR21" s="23">
        <v>3</v>
      </c>
      <c r="AS21" s="24">
        <v>2</v>
      </c>
    </row>
    <row r="22" spans="1:46" s="17" customFormat="1" ht="16" customHeight="1" x14ac:dyDescent="0.3">
      <c r="B22" s="16">
        <v>11</v>
      </c>
      <c r="C22" s="57"/>
      <c r="D22" s="57"/>
      <c r="E22" s="57"/>
      <c r="F22" s="57"/>
      <c r="G22" s="57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57"/>
      <c r="T22" s="57"/>
      <c r="U22" s="57"/>
      <c r="V22" s="57"/>
      <c r="W22" s="57"/>
      <c r="X22" s="57"/>
      <c r="Y22" s="58"/>
      <c r="Z22" s="59"/>
      <c r="AA22" s="60"/>
      <c r="AB22" s="60"/>
      <c r="AC22" s="60"/>
      <c r="AD22" s="57"/>
      <c r="AE22" s="57"/>
      <c r="AF22" s="57"/>
      <c r="AG22" s="57"/>
      <c r="AH22" s="58"/>
      <c r="AK22" s="1"/>
      <c r="AL22" s="12"/>
      <c r="AM22" s="12"/>
      <c r="AN22" s="18"/>
      <c r="AO22" s="13"/>
      <c r="AP22" s="19"/>
      <c r="AQ22" s="1"/>
      <c r="AR22" s="23"/>
      <c r="AS22" s="24"/>
    </row>
    <row r="23" spans="1:46" s="17" customFormat="1" ht="16" customHeight="1" x14ac:dyDescent="0.3">
      <c r="B23" s="16">
        <v>12</v>
      </c>
      <c r="C23" s="57"/>
      <c r="D23" s="57"/>
      <c r="E23" s="57"/>
      <c r="F23" s="57"/>
      <c r="G23" s="57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57"/>
      <c r="T23" s="57"/>
      <c r="U23" s="57"/>
      <c r="V23" s="57"/>
      <c r="W23" s="57"/>
      <c r="X23" s="57"/>
      <c r="Y23" s="58"/>
      <c r="Z23" s="68"/>
      <c r="AA23" s="69"/>
      <c r="AB23" s="69"/>
      <c r="AC23" s="69"/>
      <c r="AD23" s="66"/>
      <c r="AE23" s="66"/>
      <c r="AF23" s="66"/>
      <c r="AG23" s="66"/>
      <c r="AH23" s="67"/>
      <c r="AK23" s="1"/>
      <c r="AL23" s="12"/>
      <c r="AM23" s="12"/>
      <c r="AN23" s="18"/>
      <c r="AO23" s="13"/>
      <c r="AP23" s="19"/>
      <c r="AQ23" s="1"/>
      <c r="AR23" s="23"/>
      <c r="AS23" s="24"/>
    </row>
    <row r="24" spans="1:46" s="17" customFormat="1" ht="16" customHeight="1" x14ac:dyDescent="0.3">
      <c r="B24" s="16">
        <v>13</v>
      </c>
      <c r="C24" s="57"/>
      <c r="D24" s="57"/>
      <c r="E24" s="57"/>
      <c r="F24" s="57"/>
      <c r="G24" s="57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57"/>
      <c r="T24" s="57"/>
      <c r="U24" s="57"/>
      <c r="V24" s="57"/>
      <c r="W24" s="57"/>
      <c r="X24" s="57"/>
      <c r="Y24" s="58"/>
      <c r="Z24" s="65"/>
      <c r="AA24" s="60"/>
      <c r="AB24" s="60"/>
      <c r="AC24" s="60"/>
      <c r="AD24" s="66"/>
      <c r="AE24" s="66"/>
      <c r="AF24" s="66"/>
      <c r="AG24" s="66"/>
      <c r="AH24" s="67"/>
      <c r="AK24" s="1"/>
      <c r="AL24" s="12"/>
      <c r="AM24" s="12"/>
      <c r="AN24" s="18"/>
      <c r="AO24" s="13"/>
      <c r="AP24" s="19"/>
      <c r="AQ24" s="1"/>
      <c r="AR24" s="23"/>
      <c r="AS24" s="25"/>
    </row>
    <row r="25" spans="1:46" s="17" customFormat="1" ht="16" customHeight="1" x14ac:dyDescent="0.3">
      <c r="B25" s="16">
        <v>14</v>
      </c>
      <c r="C25" s="57"/>
      <c r="D25" s="57"/>
      <c r="E25" s="57"/>
      <c r="F25" s="57"/>
      <c r="G25" s="57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57"/>
      <c r="T25" s="57"/>
      <c r="U25" s="57"/>
      <c r="V25" s="57"/>
      <c r="W25" s="57"/>
      <c r="X25" s="57"/>
      <c r="Y25" s="58"/>
      <c r="Z25" s="62"/>
      <c r="AA25" s="63"/>
      <c r="AB25" s="63"/>
      <c r="AC25" s="64"/>
      <c r="AD25" s="60"/>
      <c r="AE25" s="60"/>
      <c r="AF25" s="60"/>
      <c r="AG25" s="60"/>
      <c r="AH25" s="61"/>
      <c r="AK25" s="1"/>
      <c r="AL25" s="12"/>
      <c r="AM25" s="12"/>
      <c r="AN25" s="18"/>
      <c r="AO25" s="13"/>
      <c r="AP25" s="19"/>
      <c r="AQ25" s="1"/>
      <c r="AR25" s="23"/>
      <c r="AS25" s="25"/>
    </row>
    <row r="26" spans="1:46" s="17" customFormat="1" ht="16" customHeight="1" x14ac:dyDescent="0.3">
      <c r="B26" s="16">
        <v>15</v>
      </c>
      <c r="C26" s="57"/>
      <c r="D26" s="57"/>
      <c r="E26" s="57"/>
      <c r="F26" s="57"/>
      <c r="G26" s="57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57"/>
      <c r="T26" s="57"/>
      <c r="U26" s="57"/>
      <c r="V26" s="57"/>
      <c r="W26" s="57"/>
      <c r="X26" s="57"/>
      <c r="Y26" s="58"/>
      <c r="Z26" s="59"/>
      <c r="AA26" s="60"/>
      <c r="AB26" s="60"/>
      <c r="AC26" s="60"/>
      <c r="AD26" s="60"/>
      <c r="AE26" s="60"/>
      <c r="AF26" s="60"/>
      <c r="AG26" s="60"/>
      <c r="AH26" s="61"/>
      <c r="AK26" s="1"/>
      <c r="AL26" s="12"/>
      <c r="AM26" s="12"/>
      <c r="AN26" s="18"/>
      <c r="AO26" s="13"/>
      <c r="AP26" s="19"/>
      <c r="AQ26" s="1"/>
      <c r="AR26" s="23"/>
      <c r="AS26" s="25"/>
    </row>
    <row r="27" spans="1:46" s="17" customFormat="1" ht="16" customHeight="1" thickBot="1" x14ac:dyDescent="0.35">
      <c r="B27" s="26"/>
      <c r="C27" s="135"/>
      <c r="D27" s="136"/>
      <c r="E27" s="136"/>
      <c r="F27" s="136"/>
      <c r="G27" s="137"/>
      <c r="H27" s="138"/>
      <c r="I27" s="139"/>
      <c r="J27" s="139"/>
      <c r="K27" s="139"/>
      <c r="L27" s="139"/>
      <c r="M27" s="139"/>
      <c r="N27" s="139"/>
      <c r="O27" s="139"/>
      <c r="P27" s="139"/>
      <c r="Q27" s="139"/>
      <c r="R27" s="140"/>
      <c r="S27" s="135"/>
      <c r="T27" s="136"/>
      <c r="U27" s="136"/>
      <c r="V27" s="137"/>
      <c r="W27" s="135"/>
      <c r="X27" s="136"/>
      <c r="Y27" s="141"/>
      <c r="Z27" s="142"/>
      <c r="AA27" s="143"/>
      <c r="AB27" s="143"/>
      <c r="AC27" s="144"/>
      <c r="AD27" s="145"/>
      <c r="AE27" s="143"/>
      <c r="AF27" s="143"/>
      <c r="AG27" s="143"/>
      <c r="AH27" s="146"/>
      <c r="AK27" s="1"/>
      <c r="AL27" s="12" t="s">
        <v>47</v>
      </c>
      <c r="AM27" s="12"/>
      <c r="AN27" s="18"/>
      <c r="AO27" s="19">
        <f>SUM(AO12:AO26)</f>
        <v>2</v>
      </c>
      <c r="AP27" s="19">
        <f>SUM(AP12:AP26)</f>
        <v>1296000</v>
      </c>
      <c r="AQ27" s="1"/>
      <c r="AR27" s="27"/>
      <c r="AS27" s="28"/>
    </row>
    <row r="28" spans="1:46" s="17" customFormat="1" ht="15" customHeight="1" thickTop="1" thickBot="1" x14ac:dyDescent="0.35">
      <c r="B28" s="39" t="s">
        <v>23</v>
      </c>
      <c r="C28" s="40"/>
      <c r="D28" s="40"/>
      <c r="E28" s="40"/>
      <c r="F28" s="40"/>
      <c r="G28" s="41"/>
      <c r="H28" s="42" t="s">
        <v>48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4"/>
      <c r="AK28" s="1"/>
      <c r="AL28" s="1"/>
      <c r="AM28" s="1"/>
      <c r="AN28" s="29"/>
      <c r="AO28" s="30"/>
      <c r="AP28" s="30"/>
      <c r="AQ28" s="30"/>
      <c r="AR28" s="30"/>
      <c r="AS28" s="30"/>
      <c r="AT28" s="30"/>
    </row>
    <row r="29" spans="1:46" ht="13.4" customHeight="1" thickTop="1" x14ac:dyDescent="0.3">
      <c r="A29" s="31"/>
      <c r="W29" s="45" t="s">
        <v>49</v>
      </c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31"/>
    </row>
    <row r="30" spans="1:46" ht="8.25" customHeight="1" x14ac:dyDescent="0.3"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spans="1:46" ht="16.399999999999999" hidden="1" customHeight="1" x14ac:dyDescent="0.3"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spans="1:46" ht="13.4" hidden="1" customHeight="1" x14ac:dyDescent="0.3"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spans="2:45" ht="12.75" hidden="1" customHeight="1" x14ac:dyDescent="0.3"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spans="2:45" ht="16.399999999999999" customHeight="1" x14ac:dyDescent="0.3"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spans="2:45" ht="13.4" customHeight="1" thickBot="1" x14ac:dyDescent="0.35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spans="2:45" ht="13.4" hidden="1" customHeight="1" thickBot="1" x14ac:dyDescent="0.3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</row>
    <row r="37" spans="2:45" ht="13" customHeight="1" thickTop="1" x14ac:dyDescent="0.3">
      <c r="B37" s="120"/>
      <c r="C37" s="121"/>
      <c r="D37" s="121"/>
      <c r="E37" s="121"/>
      <c r="F37" s="121"/>
      <c r="G37" s="124" t="s">
        <v>0</v>
      </c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5"/>
      <c r="W37" s="128" t="s">
        <v>1</v>
      </c>
      <c r="X37" s="129"/>
      <c r="Y37" s="129"/>
      <c r="Z37" s="129" t="s">
        <v>2</v>
      </c>
      <c r="AA37" s="129"/>
      <c r="AB37" s="129"/>
      <c r="AC37" s="129" t="s">
        <v>3</v>
      </c>
      <c r="AD37" s="129"/>
      <c r="AE37" s="129"/>
      <c r="AF37" s="130" t="s">
        <v>4</v>
      </c>
      <c r="AG37" s="130"/>
      <c r="AH37" s="131"/>
    </row>
    <row r="38" spans="2:45" ht="13" customHeight="1" x14ac:dyDescent="0.3">
      <c r="B38" s="122"/>
      <c r="C38" s="123"/>
      <c r="D38" s="123"/>
      <c r="E38" s="123"/>
      <c r="F38" s="123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7"/>
      <c r="W38" s="132" t="str">
        <f>IF(W3="","",W3)</f>
        <v/>
      </c>
      <c r="X38" s="133"/>
      <c r="Y38" s="134"/>
      <c r="Z38" s="107"/>
      <c r="AA38" s="107"/>
      <c r="AB38" s="107"/>
      <c r="AC38" s="107"/>
      <c r="AD38" s="107"/>
      <c r="AE38" s="107"/>
      <c r="AF38" s="107"/>
      <c r="AG38" s="107"/>
      <c r="AH38" s="108"/>
    </row>
    <row r="39" spans="2:45" ht="14.15" customHeight="1" x14ac:dyDescent="0.3">
      <c r="B39" s="109" t="s">
        <v>6</v>
      </c>
      <c r="C39" s="110"/>
      <c r="D39" s="110"/>
      <c r="E39" s="110"/>
      <c r="F39" s="111" t="str">
        <f>IF(F4="","",F4)</f>
        <v/>
      </c>
      <c r="G39" s="111"/>
      <c r="H39" s="111"/>
      <c r="I39" s="111"/>
      <c r="J39" s="111"/>
      <c r="K39" s="112"/>
      <c r="L39" s="113" t="s">
        <v>7</v>
      </c>
      <c r="M39" s="110"/>
      <c r="N39" s="114"/>
      <c r="O39" s="115" t="str">
        <f>IF(O4="","",O4)</f>
        <v/>
      </c>
      <c r="P39" s="111"/>
      <c r="Q39" s="111"/>
      <c r="R39" s="111"/>
      <c r="S39" s="111"/>
      <c r="T39" s="111"/>
      <c r="U39" s="111"/>
      <c r="V39" s="116"/>
      <c r="W39" s="93"/>
      <c r="X39" s="94"/>
      <c r="Y39" s="95"/>
      <c r="Z39" s="107"/>
      <c r="AA39" s="107"/>
      <c r="AB39" s="107"/>
      <c r="AC39" s="107"/>
      <c r="AD39" s="107"/>
      <c r="AE39" s="107"/>
      <c r="AF39" s="107"/>
      <c r="AG39" s="107"/>
      <c r="AH39" s="108"/>
    </row>
    <row r="40" spans="2:45" ht="14.15" customHeight="1" x14ac:dyDescent="0.3">
      <c r="B40" s="117" t="s">
        <v>8</v>
      </c>
      <c r="C40" s="118"/>
      <c r="D40" s="118"/>
      <c r="E40" s="119" t="s">
        <v>9</v>
      </c>
      <c r="F40" s="119"/>
      <c r="G40" s="119"/>
      <c r="H40" s="119"/>
      <c r="I40" s="119"/>
      <c r="J40" s="119"/>
      <c r="K40" s="119"/>
      <c r="L40" s="118" t="s">
        <v>10</v>
      </c>
      <c r="M40" s="118"/>
      <c r="N40" s="118"/>
      <c r="O40" s="91" t="str">
        <f>IF(O5="","",O5)</f>
        <v/>
      </c>
      <c r="P40" s="91"/>
      <c r="Q40" s="91"/>
      <c r="R40" s="91"/>
      <c r="S40" s="91"/>
      <c r="T40" s="91"/>
      <c r="U40" s="91"/>
      <c r="V40" s="92"/>
      <c r="W40" s="93" t="str">
        <f>IF(W5="","",W5)</f>
        <v/>
      </c>
      <c r="X40" s="94"/>
      <c r="Y40" s="95"/>
      <c r="Z40" s="107"/>
      <c r="AA40" s="107"/>
      <c r="AB40" s="107"/>
      <c r="AC40" s="107"/>
      <c r="AD40" s="107"/>
      <c r="AE40" s="107"/>
      <c r="AF40" s="107"/>
      <c r="AG40" s="107"/>
      <c r="AH40" s="108"/>
    </row>
    <row r="41" spans="2:45" ht="5.15" customHeight="1" x14ac:dyDescent="0.3">
      <c r="B41" s="99"/>
      <c r="C41" s="100"/>
      <c r="D41" s="100"/>
      <c r="E41" s="100"/>
      <c r="F41" s="4"/>
      <c r="G41" s="4"/>
      <c r="H41" s="4"/>
      <c r="I41" s="4"/>
      <c r="J41" s="4"/>
      <c r="K41" s="4"/>
      <c r="L41" s="5"/>
      <c r="M41" s="5"/>
      <c r="N41" s="5"/>
      <c r="O41" s="6"/>
      <c r="P41" s="6"/>
      <c r="Q41" s="6"/>
      <c r="R41" s="6"/>
      <c r="S41" s="6"/>
      <c r="T41" s="6"/>
      <c r="U41" s="6"/>
      <c r="V41" s="36"/>
      <c r="W41" s="93"/>
      <c r="X41" s="94"/>
      <c r="Y41" s="95"/>
      <c r="Z41" s="107"/>
      <c r="AA41" s="107"/>
      <c r="AB41" s="107"/>
      <c r="AC41" s="107"/>
      <c r="AD41" s="107"/>
      <c r="AE41" s="107"/>
      <c r="AF41" s="107"/>
      <c r="AG41" s="107"/>
      <c r="AH41" s="108"/>
    </row>
    <row r="42" spans="2:45" ht="15.65" customHeight="1" x14ac:dyDescent="0.3">
      <c r="B42" s="101"/>
      <c r="C42" s="102"/>
      <c r="D42" s="102"/>
      <c r="E42" s="102"/>
      <c r="F42" s="7"/>
      <c r="G42" s="7"/>
      <c r="H42" s="8"/>
      <c r="I42" s="7" t="s">
        <v>11</v>
      </c>
      <c r="J42" s="7"/>
      <c r="K42" s="7"/>
      <c r="L42" s="7"/>
      <c r="M42" s="7"/>
      <c r="N42" s="7"/>
      <c r="O42" s="7"/>
      <c r="P42" s="8"/>
      <c r="Q42" s="7" t="s">
        <v>12</v>
      </c>
      <c r="R42" s="7"/>
      <c r="S42" s="7"/>
      <c r="T42" s="7"/>
      <c r="U42" s="7"/>
      <c r="V42" s="37"/>
      <c r="W42" s="96"/>
      <c r="X42" s="97"/>
      <c r="Y42" s="98"/>
      <c r="Z42" s="107"/>
      <c r="AA42" s="107"/>
      <c r="AB42" s="107"/>
      <c r="AC42" s="107"/>
      <c r="AD42" s="107"/>
      <c r="AE42" s="107"/>
      <c r="AF42" s="107"/>
      <c r="AG42" s="107"/>
      <c r="AH42" s="108"/>
    </row>
    <row r="43" spans="2:45" ht="18" customHeight="1" x14ac:dyDescent="0.3">
      <c r="B43" s="101"/>
      <c r="C43" s="102"/>
      <c r="D43" s="102"/>
      <c r="E43" s="102"/>
      <c r="F43" s="7"/>
      <c r="G43" s="7"/>
      <c r="H43" s="8"/>
      <c r="I43" s="7" t="s">
        <v>13</v>
      </c>
      <c r="J43" s="7"/>
      <c r="K43" s="7"/>
      <c r="L43" s="7"/>
      <c r="M43" s="7"/>
      <c r="N43" s="7"/>
      <c r="O43" s="7"/>
      <c r="P43" s="8"/>
      <c r="Q43" s="7" t="s">
        <v>14</v>
      </c>
      <c r="R43" s="7"/>
      <c r="S43" s="7"/>
      <c r="T43" s="7"/>
      <c r="U43" s="7"/>
      <c r="V43" s="37"/>
      <c r="W43" s="105" t="s">
        <v>15</v>
      </c>
      <c r="X43" s="81"/>
      <c r="Y43" s="81"/>
      <c r="Z43" s="81" t="s">
        <v>15</v>
      </c>
      <c r="AA43" s="81"/>
      <c r="AB43" s="81"/>
      <c r="AC43" s="81" t="s">
        <v>15</v>
      </c>
      <c r="AD43" s="81"/>
      <c r="AE43" s="81"/>
      <c r="AF43" s="81" t="s">
        <v>15</v>
      </c>
      <c r="AG43" s="81"/>
      <c r="AH43" s="82"/>
    </row>
    <row r="44" spans="2:45" ht="5.15" customHeight="1" thickBot="1" x14ac:dyDescent="0.35">
      <c r="B44" s="103"/>
      <c r="C44" s="104"/>
      <c r="D44" s="104"/>
      <c r="E44" s="104"/>
      <c r="F44" s="9"/>
      <c r="G44" s="9"/>
      <c r="H44" s="9"/>
      <c r="I44" s="9"/>
      <c r="J44" s="9"/>
      <c r="K44" s="9"/>
      <c r="L44" s="9"/>
      <c r="M44" s="9"/>
      <c r="N44" s="9"/>
      <c r="O44" s="9"/>
      <c r="P44" s="10"/>
      <c r="Q44" s="10"/>
      <c r="R44" s="10"/>
      <c r="S44" s="10"/>
      <c r="T44" s="10"/>
      <c r="U44" s="10"/>
      <c r="V44" s="38"/>
      <c r="W44" s="106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4"/>
    </row>
    <row r="45" spans="2:45" ht="13.5" thickTop="1" x14ac:dyDescent="0.3">
      <c r="B45" s="85" t="s">
        <v>16</v>
      </c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7"/>
      <c r="Z45" s="85" t="s">
        <v>17</v>
      </c>
      <c r="AA45" s="86"/>
      <c r="AB45" s="86"/>
      <c r="AC45" s="86"/>
      <c r="AD45" s="86"/>
      <c r="AE45" s="86"/>
      <c r="AF45" s="86"/>
      <c r="AG45" s="86"/>
      <c r="AH45" s="87"/>
    </row>
    <row r="46" spans="2:45" x14ac:dyDescent="0.3">
      <c r="B46" s="11" t="s">
        <v>18</v>
      </c>
      <c r="C46" s="88" t="s">
        <v>19</v>
      </c>
      <c r="D46" s="88"/>
      <c r="E46" s="88"/>
      <c r="F46" s="88"/>
      <c r="G46" s="88"/>
      <c r="H46" s="88" t="s">
        <v>20</v>
      </c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 t="s">
        <v>21</v>
      </c>
      <c r="T46" s="88"/>
      <c r="U46" s="88"/>
      <c r="V46" s="88"/>
      <c r="W46" s="88" t="s">
        <v>22</v>
      </c>
      <c r="X46" s="88"/>
      <c r="Y46" s="89"/>
      <c r="Z46" s="90" t="s">
        <v>21</v>
      </c>
      <c r="AA46" s="88"/>
      <c r="AB46" s="88"/>
      <c r="AC46" s="88"/>
      <c r="AD46" s="88" t="s">
        <v>23</v>
      </c>
      <c r="AE46" s="88"/>
      <c r="AF46" s="88"/>
      <c r="AG46" s="88"/>
      <c r="AH46" s="89"/>
      <c r="AL46" s="12" t="s">
        <v>19</v>
      </c>
      <c r="AM46" s="12" t="s">
        <v>20</v>
      </c>
      <c r="AN46" s="12" t="s">
        <v>24</v>
      </c>
      <c r="AO46" s="13" t="s">
        <v>25</v>
      </c>
      <c r="AP46" s="14" t="s">
        <v>26</v>
      </c>
      <c r="AR46" s="15" t="s">
        <v>27</v>
      </c>
      <c r="AS46" s="15" t="s">
        <v>28</v>
      </c>
    </row>
    <row r="47" spans="2:45" s="17" customFormat="1" ht="16" customHeight="1" x14ac:dyDescent="0.3">
      <c r="B47" s="16">
        <v>1</v>
      </c>
      <c r="C47" s="46"/>
      <c r="D47" s="47"/>
      <c r="E47" s="47"/>
      <c r="F47" s="47"/>
      <c r="G47" s="48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57"/>
      <c r="T47" s="57"/>
      <c r="U47" s="57"/>
      <c r="V47" s="57"/>
      <c r="W47" s="57"/>
      <c r="X47" s="57"/>
      <c r="Y47" s="58"/>
      <c r="Z47" s="78"/>
      <c r="AA47" s="78"/>
      <c r="AB47" s="78"/>
      <c r="AC47" s="78"/>
      <c r="AD47" s="76"/>
      <c r="AE47" s="76"/>
      <c r="AF47" s="76"/>
      <c r="AG47" s="76"/>
      <c r="AH47" s="77"/>
      <c r="AK47" s="1"/>
      <c r="AL47" s="12"/>
      <c r="AM47" s="12"/>
      <c r="AN47" s="18"/>
      <c r="AO47" s="13"/>
      <c r="AP47" s="19">
        <f>AO47*AN47</f>
        <v>0</v>
      </c>
      <c r="AQ47" s="1"/>
      <c r="AR47" s="23"/>
      <c r="AS47" s="25"/>
    </row>
    <row r="48" spans="2:45" s="17" customFormat="1" ht="16" customHeight="1" x14ac:dyDescent="0.3">
      <c r="B48" s="16">
        <v>2</v>
      </c>
      <c r="C48" s="46"/>
      <c r="D48" s="47"/>
      <c r="E48" s="47"/>
      <c r="F48" s="47"/>
      <c r="G48" s="48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57"/>
      <c r="T48" s="57"/>
      <c r="U48" s="57"/>
      <c r="V48" s="57"/>
      <c r="W48" s="57"/>
      <c r="X48" s="57"/>
      <c r="Y48" s="58"/>
      <c r="Z48" s="78"/>
      <c r="AA48" s="78"/>
      <c r="AB48" s="78"/>
      <c r="AC48" s="78"/>
      <c r="AD48" s="79"/>
      <c r="AE48" s="79"/>
      <c r="AF48" s="79"/>
      <c r="AG48" s="79"/>
      <c r="AH48" s="80"/>
      <c r="AK48" s="1"/>
      <c r="AL48" s="12"/>
      <c r="AM48" s="12"/>
      <c r="AN48" s="18"/>
      <c r="AO48" s="13"/>
      <c r="AP48" s="19">
        <f t="shared" ref="AP48:AP58" si="3">AO48*AN48</f>
        <v>0</v>
      </c>
      <c r="AQ48" s="1"/>
      <c r="AR48" s="23"/>
      <c r="AS48" s="25"/>
    </row>
    <row r="49" spans="1:46" s="17" customFormat="1" ht="16" customHeight="1" x14ac:dyDescent="0.3">
      <c r="B49" s="16">
        <v>3</v>
      </c>
      <c r="C49" s="46"/>
      <c r="D49" s="47"/>
      <c r="E49" s="47"/>
      <c r="F49" s="47"/>
      <c r="G49" s="48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57"/>
      <c r="T49" s="57"/>
      <c r="U49" s="57"/>
      <c r="V49" s="57"/>
      <c r="W49" s="57"/>
      <c r="X49" s="57"/>
      <c r="Y49" s="58"/>
      <c r="Z49" s="78"/>
      <c r="AA49" s="78"/>
      <c r="AB49" s="78"/>
      <c r="AC49" s="78"/>
      <c r="AD49" s="57"/>
      <c r="AE49" s="57"/>
      <c r="AF49" s="57"/>
      <c r="AG49" s="57"/>
      <c r="AH49" s="58"/>
      <c r="AK49" s="1"/>
      <c r="AL49" s="12"/>
      <c r="AM49" s="12"/>
      <c r="AN49" s="18"/>
      <c r="AO49" s="13"/>
      <c r="AP49" s="19">
        <f t="shared" si="3"/>
        <v>0</v>
      </c>
      <c r="AQ49" s="1"/>
      <c r="AR49" s="23"/>
      <c r="AS49" s="25"/>
    </row>
    <row r="50" spans="1:46" s="17" customFormat="1" ht="16" customHeight="1" x14ac:dyDescent="0.3">
      <c r="B50" s="16">
        <v>4</v>
      </c>
      <c r="C50" s="46"/>
      <c r="D50" s="47"/>
      <c r="E50" s="47"/>
      <c r="F50" s="47"/>
      <c r="G50" s="48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57"/>
      <c r="T50" s="57"/>
      <c r="U50" s="57"/>
      <c r="V50" s="57"/>
      <c r="W50" s="57"/>
      <c r="X50" s="57"/>
      <c r="Y50" s="58"/>
      <c r="Z50" s="75"/>
      <c r="AA50" s="75"/>
      <c r="AB50" s="75"/>
      <c r="AC50" s="75"/>
      <c r="AD50" s="76"/>
      <c r="AE50" s="76"/>
      <c r="AF50" s="76"/>
      <c r="AG50" s="76"/>
      <c r="AH50" s="77"/>
      <c r="AK50" s="1"/>
      <c r="AL50" s="12"/>
      <c r="AM50" s="12"/>
      <c r="AN50" s="18"/>
      <c r="AO50" s="13"/>
      <c r="AP50" s="19">
        <f t="shared" si="3"/>
        <v>0</v>
      </c>
      <c r="AQ50" s="1"/>
      <c r="AR50" s="23"/>
      <c r="AS50" s="25"/>
    </row>
    <row r="51" spans="1:46" s="17" customFormat="1" ht="16" customHeight="1" x14ac:dyDescent="0.3">
      <c r="B51" s="16">
        <v>5</v>
      </c>
      <c r="C51" s="46"/>
      <c r="D51" s="47"/>
      <c r="E51" s="47"/>
      <c r="F51" s="47"/>
      <c r="G51" s="48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57"/>
      <c r="T51" s="57"/>
      <c r="U51" s="57"/>
      <c r="V51" s="57"/>
      <c r="W51" s="57"/>
      <c r="X51" s="57"/>
      <c r="Y51" s="58"/>
      <c r="Z51" s="75"/>
      <c r="AA51" s="75"/>
      <c r="AB51" s="75"/>
      <c r="AC51" s="75"/>
      <c r="AD51" s="76"/>
      <c r="AE51" s="76"/>
      <c r="AF51" s="76"/>
      <c r="AG51" s="76"/>
      <c r="AH51" s="77"/>
      <c r="AK51" s="1"/>
      <c r="AL51" s="12"/>
      <c r="AM51" s="12"/>
      <c r="AN51" s="18"/>
      <c r="AO51" s="13"/>
      <c r="AP51" s="19">
        <f t="shared" si="3"/>
        <v>0</v>
      </c>
      <c r="AQ51" s="1"/>
      <c r="AR51" s="23"/>
      <c r="AS51" s="25"/>
    </row>
    <row r="52" spans="1:46" s="17" customFormat="1" ht="16" customHeight="1" x14ac:dyDescent="0.3">
      <c r="B52" s="16">
        <v>6</v>
      </c>
      <c r="C52" s="46"/>
      <c r="D52" s="47"/>
      <c r="E52" s="47"/>
      <c r="F52" s="47"/>
      <c r="G52" s="48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57"/>
      <c r="T52" s="57"/>
      <c r="U52" s="57"/>
      <c r="V52" s="57"/>
      <c r="W52" s="57"/>
      <c r="X52" s="57"/>
      <c r="Y52" s="58"/>
      <c r="Z52" s="75"/>
      <c r="AA52" s="75"/>
      <c r="AB52" s="75"/>
      <c r="AC52" s="75"/>
      <c r="AD52" s="71"/>
      <c r="AE52" s="72"/>
      <c r="AF52" s="72"/>
      <c r="AG52" s="72"/>
      <c r="AH52" s="73"/>
      <c r="AK52" s="1"/>
      <c r="AL52" s="12"/>
      <c r="AM52" s="12"/>
      <c r="AN52" s="18"/>
      <c r="AO52" s="13"/>
      <c r="AP52" s="19">
        <f t="shared" si="3"/>
        <v>0</v>
      </c>
      <c r="AQ52" s="1"/>
      <c r="AR52" s="23"/>
      <c r="AS52" s="25"/>
    </row>
    <row r="53" spans="1:46" s="17" customFormat="1" ht="16" customHeight="1" x14ac:dyDescent="0.3">
      <c r="B53" s="16">
        <v>7</v>
      </c>
      <c r="C53" s="46"/>
      <c r="D53" s="47"/>
      <c r="E53" s="47"/>
      <c r="F53" s="47"/>
      <c r="G53" s="48"/>
      <c r="H53" s="49"/>
      <c r="I53" s="50"/>
      <c r="J53" s="50"/>
      <c r="K53" s="50"/>
      <c r="L53" s="50"/>
      <c r="M53" s="50"/>
      <c r="N53" s="50"/>
      <c r="O53" s="50"/>
      <c r="P53" s="50"/>
      <c r="Q53" s="50"/>
      <c r="R53" s="51"/>
      <c r="S53" s="57"/>
      <c r="T53" s="57"/>
      <c r="U53" s="57"/>
      <c r="V53" s="57"/>
      <c r="W53" s="57"/>
      <c r="X53" s="57"/>
      <c r="Y53" s="58"/>
      <c r="Z53" s="59"/>
      <c r="AA53" s="60"/>
      <c r="AB53" s="60"/>
      <c r="AC53" s="60"/>
      <c r="AD53" s="71"/>
      <c r="AE53" s="72"/>
      <c r="AF53" s="72"/>
      <c r="AG53" s="72"/>
      <c r="AH53" s="73"/>
      <c r="AK53" s="1"/>
      <c r="AL53" s="12"/>
      <c r="AM53" s="12"/>
      <c r="AN53" s="18"/>
      <c r="AO53" s="13"/>
      <c r="AP53" s="19">
        <f t="shared" si="3"/>
        <v>0</v>
      </c>
      <c r="AQ53" s="1"/>
      <c r="AR53" s="23"/>
      <c r="AS53" s="24"/>
    </row>
    <row r="54" spans="1:46" s="17" customFormat="1" ht="16" customHeight="1" x14ac:dyDescent="0.3">
      <c r="A54" s="17">
        <v>15</v>
      </c>
      <c r="B54" s="16">
        <v>8</v>
      </c>
      <c r="C54" s="46"/>
      <c r="D54" s="47"/>
      <c r="E54" s="47"/>
      <c r="F54" s="47"/>
      <c r="G54" s="48"/>
      <c r="H54" s="49"/>
      <c r="I54" s="50"/>
      <c r="J54" s="50"/>
      <c r="K54" s="50"/>
      <c r="L54" s="50"/>
      <c r="M54" s="50"/>
      <c r="N54" s="50"/>
      <c r="O54" s="50"/>
      <c r="P54" s="50"/>
      <c r="Q54" s="50"/>
      <c r="R54" s="51"/>
      <c r="S54" s="57"/>
      <c r="T54" s="57"/>
      <c r="U54" s="57"/>
      <c r="V54" s="57"/>
      <c r="W54" s="57"/>
      <c r="X54" s="57"/>
      <c r="Y54" s="58"/>
      <c r="Z54" s="59"/>
      <c r="AA54" s="60"/>
      <c r="AB54" s="60"/>
      <c r="AC54" s="60"/>
      <c r="AD54" s="60"/>
      <c r="AE54" s="60"/>
      <c r="AF54" s="60"/>
      <c r="AG54" s="60"/>
      <c r="AH54" s="61"/>
      <c r="AK54" s="1"/>
      <c r="AL54" s="12"/>
      <c r="AM54" s="12"/>
      <c r="AN54" s="18"/>
      <c r="AO54" s="13"/>
      <c r="AP54" s="19">
        <f t="shared" si="3"/>
        <v>0</v>
      </c>
      <c r="AQ54" s="1"/>
      <c r="AR54" s="23"/>
      <c r="AS54" s="24"/>
    </row>
    <row r="55" spans="1:46" s="17" customFormat="1" ht="16" customHeight="1" x14ac:dyDescent="0.3">
      <c r="B55" s="16">
        <v>9</v>
      </c>
      <c r="C55" s="46"/>
      <c r="D55" s="47"/>
      <c r="E55" s="47"/>
      <c r="F55" s="47"/>
      <c r="G55" s="48"/>
      <c r="H55" s="49"/>
      <c r="I55" s="50"/>
      <c r="J55" s="50"/>
      <c r="K55" s="50"/>
      <c r="L55" s="50"/>
      <c r="M55" s="50"/>
      <c r="N55" s="50"/>
      <c r="O55" s="50"/>
      <c r="P55" s="50"/>
      <c r="Q55" s="50"/>
      <c r="R55" s="51"/>
      <c r="S55" s="57"/>
      <c r="T55" s="57"/>
      <c r="U55" s="57"/>
      <c r="V55" s="57"/>
      <c r="W55" s="57"/>
      <c r="X55" s="57"/>
      <c r="Y55" s="58"/>
      <c r="Z55" s="59"/>
      <c r="AA55" s="60"/>
      <c r="AB55" s="60"/>
      <c r="AC55" s="60"/>
      <c r="AD55" s="70"/>
      <c r="AE55" s="60"/>
      <c r="AF55" s="60"/>
      <c r="AG55" s="60"/>
      <c r="AH55" s="61"/>
      <c r="AK55" s="1"/>
      <c r="AL55" s="12"/>
      <c r="AM55" s="12"/>
      <c r="AN55" s="18"/>
      <c r="AO55" s="13"/>
      <c r="AP55" s="19">
        <f t="shared" si="3"/>
        <v>0</v>
      </c>
      <c r="AQ55" s="1"/>
      <c r="AR55" s="23"/>
      <c r="AS55" s="24"/>
    </row>
    <row r="56" spans="1:46" s="17" customFormat="1" ht="16" customHeight="1" x14ac:dyDescent="0.3">
      <c r="B56" s="16">
        <v>10</v>
      </c>
      <c r="C56" s="46"/>
      <c r="D56" s="47"/>
      <c r="E56" s="47"/>
      <c r="F56" s="47"/>
      <c r="G56" s="48"/>
      <c r="H56" s="49"/>
      <c r="I56" s="50"/>
      <c r="J56" s="50"/>
      <c r="K56" s="50"/>
      <c r="L56" s="50"/>
      <c r="M56" s="50"/>
      <c r="N56" s="50"/>
      <c r="O56" s="50"/>
      <c r="P56" s="50"/>
      <c r="Q56" s="50"/>
      <c r="R56" s="51"/>
      <c r="S56" s="57"/>
      <c r="T56" s="57"/>
      <c r="U56" s="57"/>
      <c r="V56" s="57"/>
      <c r="W56" s="57"/>
      <c r="X56" s="57"/>
      <c r="Y56" s="58"/>
      <c r="Z56" s="65"/>
      <c r="AA56" s="60"/>
      <c r="AB56" s="60"/>
      <c r="AC56" s="60"/>
      <c r="AD56" s="57"/>
      <c r="AE56" s="57"/>
      <c r="AF56" s="57"/>
      <c r="AG56" s="57"/>
      <c r="AH56" s="58"/>
      <c r="AK56" s="1"/>
      <c r="AL56" s="12"/>
      <c r="AM56" s="12"/>
      <c r="AN56" s="18"/>
      <c r="AO56" s="13"/>
      <c r="AP56" s="19">
        <f t="shared" si="3"/>
        <v>0</v>
      </c>
      <c r="AQ56" s="1"/>
      <c r="AR56" s="23"/>
      <c r="AS56" s="24"/>
    </row>
    <row r="57" spans="1:46" s="17" customFormat="1" ht="16" customHeight="1" x14ac:dyDescent="0.3">
      <c r="B57" s="16">
        <v>11</v>
      </c>
      <c r="C57" s="46"/>
      <c r="D57" s="47"/>
      <c r="E57" s="47"/>
      <c r="F57" s="47"/>
      <c r="G57" s="48"/>
      <c r="H57" s="49"/>
      <c r="I57" s="50"/>
      <c r="J57" s="50"/>
      <c r="K57" s="50"/>
      <c r="L57" s="50"/>
      <c r="M57" s="50"/>
      <c r="N57" s="50"/>
      <c r="O57" s="50"/>
      <c r="P57" s="50"/>
      <c r="Q57" s="50"/>
      <c r="R57" s="51"/>
      <c r="S57" s="57"/>
      <c r="T57" s="57"/>
      <c r="U57" s="57"/>
      <c r="V57" s="57"/>
      <c r="W57" s="57"/>
      <c r="X57" s="57"/>
      <c r="Y57" s="58"/>
      <c r="Z57" s="59"/>
      <c r="AA57" s="60"/>
      <c r="AB57" s="60"/>
      <c r="AC57" s="60"/>
      <c r="AD57" s="57"/>
      <c r="AE57" s="57"/>
      <c r="AF57" s="57"/>
      <c r="AG57" s="57"/>
      <c r="AH57" s="58"/>
      <c r="AK57" s="1"/>
      <c r="AL57" s="12"/>
      <c r="AM57" s="12"/>
      <c r="AN57" s="18"/>
      <c r="AO57" s="13"/>
      <c r="AP57" s="19">
        <f t="shared" si="3"/>
        <v>0</v>
      </c>
      <c r="AQ57" s="1"/>
      <c r="AR57" s="23"/>
      <c r="AS57" s="24"/>
    </row>
    <row r="58" spans="1:46" s="17" customFormat="1" ht="16" customHeight="1" x14ac:dyDescent="0.3">
      <c r="B58" s="16">
        <v>12</v>
      </c>
      <c r="C58" s="46"/>
      <c r="D58" s="47"/>
      <c r="E58" s="47"/>
      <c r="F58" s="47"/>
      <c r="G58" s="48"/>
      <c r="H58" s="49"/>
      <c r="I58" s="50"/>
      <c r="J58" s="50"/>
      <c r="K58" s="50"/>
      <c r="L58" s="50"/>
      <c r="M58" s="50"/>
      <c r="N58" s="50"/>
      <c r="O58" s="50"/>
      <c r="P58" s="50"/>
      <c r="Q58" s="50"/>
      <c r="R58" s="51"/>
      <c r="S58" s="57"/>
      <c r="T58" s="57"/>
      <c r="U58" s="57"/>
      <c r="V58" s="57"/>
      <c r="W58" s="57"/>
      <c r="X58" s="57"/>
      <c r="Y58" s="58"/>
      <c r="Z58" s="68"/>
      <c r="AA58" s="69"/>
      <c r="AB58" s="69"/>
      <c r="AC58" s="69"/>
      <c r="AD58" s="66"/>
      <c r="AE58" s="66"/>
      <c r="AF58" s="66"/>
      <c r="AG58" s="66"/>
      <c r="AH58" s="67"/>
      <c r="AK58" s="1"/>
      <c r="AL58" s="12"/>
      <c r="AM58" s="12"/>
      <c r="AN58" s="18"/>
      <c r="AO58" s="13"/>
      <c r="AP58" s="19">
        <f t="shared" si="3"/>
        <v>0</v>
      </c>
      <c r="AQ58" s="1"/>
      <c r="AR58" s="23"/>
      <c r="AS58" s="24"/>
    </row>
    <row r="59" spans="1:46" s="17" customFormat="1" ht="16" customHeight="1" x14ac:dyDescent="0.3">
      <c r="B59" s="16">
        <v>13</v>
      </c>
      <c r="C59" s="46"/>
      <c r="D59" s="47"/>
      <c r="E59" s="47"/>
      <c r="F59" s="47"/>
      <c r="G59" s="48"/>
      <c r="H59" s="49"/>
      <c r="I59" s="50"/>
      <c r="J59" s="50"/>
      <c r="K59" s="50"/>
      <c r="L59" s="50"/>
      <c r="M59" s="50"/>
      <c r="N59" s="50"/>
      <c r="O59" s="50"/>
      <c r="P59" s="50"/>
      <c r="Q59" s="50"/>
      <c r="R59" s="51"/>
      <c r="S59" s="57"/>
      <c r="T59" s="57"/>
      <c r="U59" s="57"/>
      <c r="V59" s="57"/>
      <c r="W59" s="57"/>
      <c r="X59" s="57"/>
      <c r="Y59" s="58"/>
      <c r="Z59" s="65"/>
      <c r="AA59" s="60"/>
      <c r="AB59" s="60"/>
      <c r="AC59" s="60"/>
      <c r="AD59" s="66"/>
      <c r="AE59" s="66"/>
      <c r="AF59" s="66"/>
      <c r="AG59" s="66"/>
      <c r="AH59" s="67"/>
      <c r="AK59" s="1"/>
      <c r="AL59" s="12"/>
      <c r="AM59" s="12"/>
      <c r="AN59" s="18"/>
      <c r="AO59" s="13"/>
      <c r="AP59" s="19"/>
      <c r="AQ59" s="1"/>
      <c r="AR59" s="23"/>
      <c r="AS59" s="25"/>
    </row>
    <row r="60" spans="1:46" s="17" customFormat="1" ht="16" customHeight="1" x14ac:dyDescent="0.3">
      <c r="B60" s="16">
        <v>14</v>
      </c>
      <c r="C60" s="46"/>
      <c r="D60" s="47"/>
      <c r="E60" s="47"/>
      <c r="F60" s="47"/>
      <c r="G60" s="48"/>
      <c r="H60" s="49"/>
      <c r="I60" s="50"/>
      <c r="J60" s="50"/>
      <c r="K60" s="50"/>
      <c r="L60" s="50"/>
      <c r="M60" s="50"/>
      <c r="N60" s="50"/>
      <c r="O60" s="50"/>
      <c r="P60" s="50"/>
      <c r="Q60" s="50"/>
      <c r="R60" s="51"/>
      <c r="S60" s="57" t="str">
        <f>IFERROR(ROUNDUP(#REF!*#REF!/#REF!,#REF!)-AR60,"")</f>
        <v/>
      </c>
      <c r="T60" s="57"/>
      <c r="U60" s="57"/>
      <c r="V60" s="57"/>
      <c r="W60" s="57"/>
      <c r="X60" s="57"/>
      <c r="Y60" s="58"/>
      <c r="Z60" s="62"/>
      <c r="AA60" s="63"/>
      <c r="AB60" s="63"/>
      <c r="AC60" s="64"/>
      <c r="AD60" s="60"/>
      <c r="AE60" s="60"/>
      <c r="AF60" s="60"/>
      <c r="AG60" s="60"/>
      <c r="AH60" s="61"/>
      <c r="AK60" s="1"/>
      <c r="AL60" s="12"/>
      <c r="AM60" s="12"/>
      <c r="AN60" s="18"/>
      <c r="AO60" s="13"/>
      <c r="AP60" s="19"/>
      <c r="AQ60" s="1"/>
      <c r="AR60" s="23"/>
      <c r="AS60" s="25"/>
    </row>
    <row r="61" spans="1:46" s="17" customFormat="1" ht="16" customHeight="1" x14ac:dyDescent="0.3">
      <c r="B61" s="16">
        <v>15</v>
      </c>
      <c r="C61" s="46"/>
      <c r="D61" s="47"/>
      <c r="E61" s="47"/>
      <c r="F61" s="47"/>
      <c r="G61" s="48"/>
      <c r="H61" s="49"/>
      <c r="I61" s="50"/>
      <c r="J61" s="50"/>
      <c r="K61" s="50"/>
      <c r="L61" s="50"/>
      <c r="M61" s="50"/>
      <c r="N61" s="50"/>
      <c r="O61" s="50"/>
      <c r="P61" s="50"/>
      <c r="Q61" s="50"/>
      <c r="R61" s="51"/>
      <c r="S61" s="57"/>
      <c r="T61" s="57"/>
      <c r="U61" s="57"/>
      <c r="V61" s="57"/>
      <c r="W61" s="57"/>
      <c r="X61" s="57"/>
      <c r="Y61" s="58"/>
      <c r="Z61" s="59"/>
      <c r="AA61" s="60"/>
      <c r="AB61" s="60"/>
      <c r="AC61" s="60"/>
      <c r="AD61" s="60"/>
      <c r="AE61" s="60"/>
      <c r="AF61" s="60"/>
      <c r="AG61" s="60"/>
      <c r="AH61" s="61"/>
      <c r="AK61" s="1"/>
      <c r="AL61" s="12"/>
      <c r="AM61" s="12"/>
      <c r="AN61" s="18"/>
      <c r="AO61" s="13"/>
      <c r="AP61" s="19"/>
      <c r="AQ61" s="1"/>
      <c r="AR61" s="23"/>
      <c r="AS61" s="25"/>
    </row>
    <row r="62" spans="1:46" s="17" customFormat="1" ht="16" customHeight="1" thickBot="1" x14ac:dyDescent="0.35">
      <c r="B62" s="26"/>
      <c r="C62" s="46"/>
      <c r="D62" s="47"/>
      <c r="E62" s="47"/>
      <c r="F62" s="47"/>
      <c r="G62" s="48"/>
      <c r="H62" s="49"/>
      <c r="I62" s="50"/>
      <c r="J62" s="50"/>
      <c r="K62" s="50"/>
      <c r="L62" s="50"/>
      <c r="M62" s="50"/>
      <c r="N62" s="50"/>
      <c r="O62" s="50"/>
      <c r="P62" s="50"/>
      <c r="Q62" s="50"/>
      <c r="R62" s="51"/>
      <c r="S62" s="52"/>
      <c r="T62" s="52"/>
      <c r="U62" s="52"/>
      <c r="V62" s="52"/>
      <c r="W62" s="52"/>
      <c r="X62" s="52"/>
      <c r="Y62" s="53"/>
      <c r="Z62" s="54"/>
      <c r="AA62" s="55"/>
      <c r="AB62" s="55"/>
      <c r="AC62" s="55"/>
      <c r="AD62" s="55"/>
      <c r="AE62" s="55"/>
      <c r="AF62" s="55"/>
      <c r="AG62" s="55"/>
      <c r="AH62" s="56"/>
      <c r="AK62" s="1"/>
      <c r="AL62" s="12" t="s">
        <v>47</v>
      </c>
      <c r="AM62" s="12"/>
      <c r="AN62" s="18"/>
      <c r="AO62" s="19">
        <f>SUM(AO47:AO61)</f>
        <v>0</v>
      </c>
      <c r="AP62" s="19">
        <f>SUM(AP47:AP61)</f>
        <v>0</v>
      </c>
      <c r="AQ62" s="1"/>
      <c r="AR62" s="27"/>
      <c r="AS62" s="28"/>
    </row>
    <row r="63" spans="1:46" s="17" customFormat="1" ht="15" customHeight="1" thickTop="1" thickBot="1" x14ac:dyDescent="0.35">
      <c r="B63" s="39" t="s">
        <v>23</v>
      </c>
      <c r="C63" s="40"/>
      <c r="D63" s="40"/>
      <c r="E63" s="40"/>
      <c r="F63" s="40"/>
      <c r="G63" s="41"/>
      <c r="H63" s="42" t="s">
        <v>48</v>
      </c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4"/>
      <c r="AK63" s="1"/>
      <c r="AL63" s="1"/>
      <c r="AM63" s="1"/>
      <c r="AN63" s="29"/>
      <c r="AO63" s="30"/>
      <c r="AP63" s="30"/>
      <c r="AQ63" s="30"/>
      <c r="AR63" s="30"/>
      <c r="AS63" s="30"/>
      <c r="AT63" s="30"/>
    </row>
    <row r="64" spans="1:46" ht="13.5" thickTop="1" x14ac:dyDescent="0.3">
      <c r="W64" s="45" t="s">
        <v>49</v>
      </c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</row>
  </sheetData>
  <protectedRanges>
    <protectedRange sqref="C12:AH26" name="Range1"/>
    <protectedRange sqref="C47:AH61" name="Range2"/>
    <protectedRange sqref="P7:P8 H7:H8 H42:H43 P42:P43" name="Range3"/>
  </protectedRanges>
  <mergeCells count="262">
    <mergeCell ref="W2:Y2"/>
    <mergeCell ref="Z2:AB2"/>
    <mergeCell ref="AC2:AE2"/>
    <mergeCell ref="AF2:AH2"/>
    <mergeCell ref="W3:Y4"/>
    <mergeCell ref="Z3:AB7"/>
    <mergeCell ref="AC3:AE7"/>
    <mergeCell ref="AF3:AH7"/>
    <mergeCell ref="B4:E4"/>
    <mergeCell ref="F4:K4"/>
    <mergeCell ref="L4:N4"/>
    <mergeCell ref="O4:V4"/>
    <mergeCell ref="B5:D5"/>
    <mergeCell ref="E5:K5"/>
    <mergeCell ref="L5:N5"/>
    <mergeCell ref="O5:V5"/>
    <mergeCell ref="B2:F3"/>
    <mergeCell ref="G2:V3"/>
    <mergeCell ref="B10:Y10"/>
    <mergeCell ref="Z10:AH10"/>
    <mergeCell ref="C11:G11"/>
    <mergeCell ref="H11:R11"/>
    <mergeCell ref="S11:V11"/>
    <mergeCell ref="W11:Y11"/>
    <mergeCell ref="Z11:AC11"/>
    <mergeCell ref="AD11:AH11"/>
    <mergeCell ref="W5:Y7"/>
    <mergeCell ref="B6:E9"/>
    <mergeCell ref="W8:Y9"/>
    <mergeCell ref="Z8:AB9"/>
    <mergeCell ref="AC8:AE9"/>
    <mergeCell ref="AF8:AH9"/>
    <mergeCell ref="C13:G13"/>
    <mergeCell ref="H13:R13"/>
    <mergeCell ref="S13:V13"/>
    <mergeCell ref="W13:Y13"/>
    <mergeCell ref="Z13:AC13"/>
    <mergeCell ref="AD13:AH13"/>
    <mergeCell ref="C12:G12"/>
    <mergeCell ref="H12:R12"/>
    <mergeCell ref="S12:V12"/>
    <mergeCell ref="W12:Y12"/>
    <mergeCell ref="Z12:AC12"/>
    <mergeCell ref="AD12:AH12"/>
    <mergeCell ref="C15:G15"/>
    <mergeCell ref="H15:R15"/>
    <mergeCell ref="S15:V15"/>
    <mergeCell ref="W15:Y15"/>
    <mergeCell ref="Z15:AC15"/>
    <mergeCell ref="AD15:AH15"/>
    <mergeCell ref="C14:G14"/>
    <mergeCell ref="H14:R14"/>
    <mergeCell ref="S14:V14"/>
    <mergeCell ref="W14:Y14"/>
    <mergeCell ref="Z14:AC14"/>
    <mergeCell ref="AD14:AH14"/>
    <mergeCell ref="C17:G17"/>
    <mergeCell ref="H17:R17"/>
    <mergeCell ref="S17:V17"/>
    <mergeCell ref="W17:Y17"/>
    <mergeCell ref="Z17:AC17"/>
    <mergeCell ref="AD17:AH17"/>
    <mergeCell ref="C16:G16"/>
    <mergeCell ref="H16:R16"/>
    <mergeCell ref="S16:V16"/>
    <mergeCell ref="W16:Y16"/>
    <mergeCell ref="Z16:AC16"/>
    <mergeCell ref="AD16:AH16"/>
    <mergeCell ref="C19:G19"/>
    <mergeCell ref="H19:R19"/>
    <mergeCell ref="S19:V19"/>
    <mergeCell ref="W19:Y19"/>
    <mergeCell ref="Z19:AC19"/>
    <mergeCell ref="AD19:AH19"/>
    <mergeCell ref="C18:G18"/>
    <mergeCell ref="H18:R18"/>
    <mergeCell ref="S18:V18"/>
    <mergeCell ref="W18:Y18"/>
    <mergeCell ref="Z18:AC18"/>
    <mergeCell ref="AD18:AH18"/>
    <mergeCell ref="C21:G21"/>
    <mergeCell ref="H21:R21"/>
    <mergeCell ref="S21:V21"/>
    <mergeCell ref="W21:Y21"/>
    <mergeCell ref="Z21:AC21"/>
    <mergeCell ref="AD21:AH21"/>
    <mergeCell ref="C20:G20"/>
    <mergeCell ref="H20:R20"/>
    <mergeCell ref="S20:V20"/>
    <mergeCell ref="W20:Y20"/>
    <mergeCell ref="Z20:AC20"/>
    <mergeCell ref="AD20:AH20"/>
    <mergeCell ref="C23:G23"/>
    <mergeCell ref="H23:R23"/>
    <mergeCell ref="S23:V23"/>
    <mergeCell ref="W23:Y23"/>
    <mergeCell ref="Z23:AC23"/>
    <mergeCell ref="AD23:AH23"/>
    <mergeCell ref="C22:G22"/>
    <mergeCell ref="H22:R22"/>
    <mergeCell ref="S22:V22"/>
    <mergeCell ref="W22:Y22"/>
    <mergeCell ref="Z22:AC22"/>
    <mergeCell ref="AD22:AH22"/>
    <mergeCell ref="C25:G25"/>
    <mergeCell ref="H25:R25"/>
    <mergeCell ref="S25:V25"/>
    <mergeCell ref="W25:Y25"/>
    <mergeCell ref="Z25:AC25"/>
    <mergeCell ref="AD25:AH25"/>
    <mergeCell ref="C24:G24"/>
    <mergeCell ref="H24:R24"/>
    <mergeCell ref="S24:V24"/>
    <mergeCell ref="W24:Y24"/>
    <mergeCell ref="Z24:AC24"/>
    <mergeCell ref="AD24:AH24"/>
    <mergeCell ref="C27:G27"/>
    <mergeCell ref="H27:R27"/>
    <mergeCell ref="S27:V27"/>
    <mergeCell ref="W27:Y27"/>
    <mergeCell ref="Z27:AC27"/>
    <mergeCell ref="AD27:AH27"/>
    <mergeCell ref="C26:G26"/>
    <mergeCell ref="H26:R26"/>
    <mergeCell ref="S26:V26"/>
    <mergeCell ref="W26:Y26"/>
    <mergeCell ref="Z26:AC26"/>
    <mergeCell ref="AD26:AH26"/>
    <mergeCell ref="B28:G28"/>
    <mergeCell ref="H28:AH28"/>
    <mergeCell ref="W29:AH29"/>
    <mergeCell ref="B37:F38"/>
    <mergeCell ref="G37:V38"/>
    <mergeCell ref="W37:Y37"/>
    <mergeCell ref="Z37:AB37"/>
    <mergeCell ref="AC37:AE37"/>
    <mergeCell ref="AF37:AH37"/>
    <mergeCell ref="W38:Y39"/>
    <mergeCell ref="O40:V40"/>
    <mergeCell ref="W40:Y42"/>
    <mergeCell ref="B41:E44"/>
    <mergeCell ref="W43:Y44"/>
    <mergeCell ref="Z43:AB44"/>
    <mergeCell ref="AC43:AE44"/>
    <mergeCell ref="Z38:AB42"/>
    <mergeCell ref="AC38:AE42"/>
    <mergeCell ref="AF38:AH42"/>
    <mergeCell ref="B39:E39"/>
    <mergeCell ref="F39:K39"/>
    <mergeCell ref="L39:N39"/>
    <mergeCell ref="O39:V39"/>
    <mergeCell ref="B40:D40"/>
    <mergeCell ref="E40:K40"/>
    <mergeCell ref="L40:N40"/>
    <mergeCell ref="C47:G47"/>
    <mergeCell ref="H47:R47"/>
    <mergeCell ref="S47:V47"/>
    <mergeCell ref="W47:Y47"/>
    <mergeCell ref="Z47:AC47"/>
    <mergeCell ref="AD47:AH47"/>
    <mergeCell ref="AF43:AH44"/>
    <mergeCell ref="B45:Y45"/>
    <mergeCell ref="Z45:AH45"/>
    <mergeCell ref="C46:G46"/>
    <mergeCell ref="H46:R46"/>
    <mergeCell ref="S46:V46"/>
    <mergeCell ref="W46:Y46"/>
    <mergeCell ref="Z46:AC46"/>
    <mergeCell ref="AD46:AH46"/>
    <mergeCell ref="C49:G49"/>
    <mergeCell ref="H49:R49"/>
    <mergeCell ref="S49:V49"/>
    <mergeCell ref="W49:Y49"/>
    <mergeCell ref="Z49:AC49"/>
    <mergeCell ref="AD49:AH49"/>
    <mergeCell ref="C48:G48"/>
    <mergeCell ref="H48:R48"/>
    <mergeCell ref="S48:V48"/>
    <mergeCell ref="W48:Y48"/>
    <mergeCell ref="Z48:AC48"/>
    <mergeCell ref="AD48:AH48"/>
    <mergeCell ref="C51:G51"/>
    <mergeCell ref="H51:R51"/>
    <mergeCell ref="S51:V51"/>
    <mergeCell ref="W51:Y51"/>
    <mergeCell ref="Z51:AC51"/>
    <mergeCell ref="AD51:AH51"/>
    <mergeCell ref="C50:G50"/>
    <mergeCell ref="H50:R50"/>
    <mergeCell ref="S50:V50"/>
    <mergeCell ref="W50:Y50"/>
    <mergeCell ref="Z50:AC50"/>
    <mergeCell ref="AD50:AH50"/>
    <mergeCell ref="C53:G53"/>
    <mergeCell ref="H53:R53"/>
    <mergeCell ref="S53:V53"/>
    <mergeCell ref="W53:Y53"/>
    <mergeCell ref="Z53:AC53"/>
    <mergeCell ref="AD53:AH53"/>
    <mergeCell ref="C52:G52"/>
    <mergeCell ref="H52:R52"/>
    <mergeCell ref="S52:V52"/>
    <mergeCell ref="W52:Y52"/>
    <mergeCell ref="Z52:AC52"/>
    <mergeCell ref="AD52:AH52"/>
    <mergeCell ref="C55:G55"/>
    <mergeCell ref="H55:R55"/>
    <mergeCell ref="S55:V55"/>
    <mergeCell ref="W55:Y55"/>
    <mergeCell ref="Z55:AC55"/>
    <mergeCell ref="AD55:AH55"/>
    <mergeCell ref="C54:G54"/>
    <mergeCell ref="H54:R54"/>
    <mergeCell ref="S54:V54"/>
    <mergeCell ref="W54:Y54"/>
    <mergeCell ref="Z54:AC54"/>
    <mergeCell ref="AD54:AH54"/>
    <mergeCell ref="C57:G57"/>
    <mergeCell ref="H57:R57"/>
    <mergeCell ref="S57:V57"/>
    <mergeCell ref="W57:Y57"/>
    <mergeCell ref="Z57:AC57"/>
    <mergeCell ref="AD57:AH57"/>
    <mergeCell ref="C56:G56"/>
    <mergeCell ref="H56:R56"/>
    <mergeCell ref="S56:V56"/>
    <mergeCell ref="W56:Y56"/>
    <mergeCell ref="Z56:AC56"/>
    <mergeCell ref="AD56:AH56"/>
    <mergeCell ref="C59:G59"/>
    <mergeCell ref="H59:R59"/>
    <mergeCell ref="S59:V59"/>
    <mergeCell ref="W59:Y59"/>
    <mergeCell ref="Z59:AC59"/>
    <mergeCell ref="AD59:AH59"/>
    <mergeCell ref="C58:G58"/>
    <mergeCell ref="H58:R58"/>
    <mergeCell ref="S58:V58"/>
    <mergeCell ref="W58:Y58"/>
    <mergeCell ref="Z58:AC58"/>
    <mergeCell ref="AD58:AH58"/>
    <mergeCell ref="C61:G61"/>
    <mergeCell ref="H61:R61"/>
    <mergeCell ref="S61:V61"/>
    <mergeCell ref="W61:Y61"/>
    <mergeCell ref="Z61:AC61"/>
    <mergeCell ref="AD61:AH61"/>
    <mergeCell ref="C60:G60"/>
    <mergeCell ref="H60:R60"/>
    <mergeCell ref="S60:V60"/>
    <mergeCell ref="W60:Y60"/>
    <mergeCell ref="Z60:AC60"/>
    <mergeCell ref="AD60:AH60"/>
    <mergeCell ref="B63:G63"/>
    <mergeCell ref="H63:AH63"/>
    <mergeCell ref="W64:AH64"/>
    <mergeCell ref="C62:G62"/>
    <mergeCell ref="H62:R62"/>
    <mergeCell ref="S62:V62"/>
    <mergeCell ref="W62:Y62"/>
    <mergeCell ref="Z62:AC62"/>
    <mergeCell ref="AD62:AH62"/>
  </mergeCells>
  <dataValidations count="1">
    <dataValidation type="list" allowBlank="1" showInputMessage="1" showErrorMessage="1" sqref="P7:P8 H7:H8 H42:H43 P42:P43" xr:uid="{31B8806C-0D4F-4934-924C-061D04EE0368}">
      <formula1>$BZ$2:$BZ$7</formula1>
    </dataValidation>
  </dataValidations>
  <printOptions horizontalCentered="1" verticalCentered="1"/>
  <pageMargins left="0" right="0" top="0" bottom="0" header="0" footer="0"/>
  <pageSetup paperSize="9" scale="95" fitToWidth="0" orientation="portrait" r:id="rId1"/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2742-7D54-4098-A000-6E4124CAAC68}">
  <sheetPr codeName="Sheet10">
    <pageSetUpPr fitToPage="1"/>
  </sheetPr>
  <dimension ref="A1:BZ64"/>
  <sheetViews>
    <sheetView view="pageBreakPreview" topLeftCell="B2" zoomScale="130" zoomScaleNormal="90" zoomScaleSheetLayoutView="130" workbookViewId="0">
      <selection activeCell="H16" sqref="H16:R16"/>
    </sheetView>
  </sheetViews>
  <sheetFormatPr defaultColWidth="3" defaultRowHeight="13" x14ac:dyDescent="0.3"/>
  <cols>
    <col min="1" max="1" width="0.81640625" style="1" hidden="1" customWidth="1"/>
    <col min="2" max="14" width="3" style="1"/>
    <col min="15" max="22" width="3" style="1" customWidth="1"/>
    <col min="23" max="23" width="3.54296875" style="1" customWidth="1"/>
    <col min="24" max="24" width="3.81640625" style="1" customWidth="1"/>
    <col min="25" max="25" width="3.54296875" style="1" customWidth="1"/>
    <col min="26" max="33" width="3" style="1"/>
    <col min="34" max="34" width="3" style="1" customWidth="1"/>
    <col min="35" max="35" width="0.81640625" style="1" customWidth="1"/>
    <col min="36" max="36" width="1.453125" style="1" customWidth="1"/>
    <col min="37" max="37" width="1.54296875" style="1" customWidth="1"/>
    <col min="38" max="38" width="12" style="1" hidden="1" customWidth="1"/>
    <col min="39" max="39" width="13.54296875" style="1" hidden="1" customWidth="1"/>
    <col min="40" max="40" width="12.453125" style="1" hidden="1" customWidth="1"/>
    <col min="41" max="41" width="8.453125" style="1" hidden="1" customWidth="1"/>
    <col min="42" max="42" width="9.1796875" style="1" hidden="1" customWidth="1"/>
    <col min="43" max="43" width="2.54296875" style="1" hidden="1" customWidth="1"/>
    <col min="44" max="44" width="9.54296875" style="2" hidden="1" customWidth="1"/>
    <col min="45" max="45" width="12.54296875" style="2" hidden="1" customWidth="1"/>
    <col min="46" max="55" width="3" style="1" hidden="1" customWidth="1"/>
    <col min="56" max="57" width="3" style="1"/>
    <col min="58" max="60" width="3" style="1" hidden="1" customWidth="1"/>
    <col min="61" max="74" width="3" style="1"/>
    <col min="75" max="75" width="3" style="1" customWidth="1"/>
    <col min="76" max="77" width="3" style="1"/>
    <col min="78" max="78" width="0" style="1" hidden="1" customWidth="1"/>
    <col min="79" max="16384" width="3" style="1"/>
  </cols>
  <sheetData>
    <row r="1" spans="2:78" ht="4" hidden="1" customHeight="1" thickBot="1" x14ac:dyDescent="0.35"/>
    <row r="2" spans="2:78" ht="13" customHeight="1" thickTop="1" x14ac:dyDescent="0.3">
      <c r="B2" s="120"/>
      <c r="C2" s="121"/>
      <c r="D2" s="121"/>
      <c r="E2" s="121"/>
      <c r="F2" s="121"/>
      <c r="G2" s="124" t="s">
        <v>0</v>
      </c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60"/>
      <c r="W2" s="128" t="s">
        <v>1</v>
      </c>
      <c r="X2" s="129"/>
      <c r="Y2" s="129"/>
      <c r="Z2" s="129" t="s">
        <v>2</v>
      </c>
      <c r="AA2" s="129"/>
      <c r="AB2" s="129"/>
      <c r="AC2" s="129" t="s">
        <v>3</v>
      </c>
      <c r="AD2" s="129"/>
      <c r="AE2" s="129"/>
      <c r="AF2" s="130" t="s">
        <v>4</v>
      </c>
      <c r="AG2" s="130"/>
      <c r="AH2" s="131"/>
      <c r="BZ2" s="3"/>
    </row>
    <row r="3" spans="2:78" ht="13" customHeight="1" x14ac:dyDescent="0.3">
      <c r="B3" s="122"/>
      <c r="C3" s="123"/>
      <c r="D3" s="123"/>
      <c r="E3" s="123"/>
      <c r="F3" s="123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61"/>
      <c r="W3" s="153"/>
      <c r="X3" s="154"/>
      <c r="Y3" s="155"/>
      <c r="Z3" s="107"/>
      <c r="AA3" s="107"/>
      <c r="AB3" s="107"/>
      <c r="AC3" s="107"/>
      <c r="AD3" s="107"/>
      <c r="AE3" s="107"/>
      <c r="AF3" s="107"/>
      <c r="AG3" s="107"/>
      <c r="AH3" s="108"/>
      <c r="BZ3" s="3" t="s">
        <v>5</v>
      </c>
    </row>
    <row r="4" spans="2:78" ht="14.15" customHeight="1" x14ac:dyDescent="0.3">
      <c r="B4" s="109" t="s">
        <v>6</v>
      </c>
      <c r="C4" s="110"/>
      <c r="D4" s="110"/>
      <c r="E4" s="110"/>
      <c r="F4" s="111"/>
      <c r="G4" s="111"/>
      <c r="H4" s="111"/>
      <c r="I4" s="111"/>
      <c r="J4" s="111"/>
      <c r="K4" s="112"/>
      <c r="L4" s="113" t="s">
        <v>7</v>
      </c>
      <c r="M4" s="110"/>
      <c r="N4" s="114"/>
      <c r="O4" s="156"/>
      <c r="P4" s="157"/>
      <c r="Q4" s="157"/>
      <c r="R4" s="157"/>
      <c r="S4" s="157"/>
      <c r="T4" s="157"/>
      <c r="U4" s="157"/>
      <c r="V4" s="157"/>
      <c r="W4" s="147"/>
      <c r="X4" s="148"/>
      <c r="Y4" s="149"/>
      <c r="Z4" s="107"/>
      <c r="AA4" s="107"/>
      <c r="AB4" s="107"/>
      <c r="AC4" s="107"/>
      <c r="AD4" s="107"/>
      <c r="AE4" s="107"/>
      <c r="AF4" s="107"/>
      <c r="AG4" s="107"/>
      <c r="AH4" s="108"/>
    </row>
    <row r="5" spans="2:78" ht="14.15" customHeight="1" x14ac:dyDescent="0.3">
      <c r="B5" s="117" t="s">
        <v>8</v>
      </c>
      <c r="C5" s="118"/>
      <c r="D5" s="118"/>
      <c r="E5" s="119" t="s">
        <v>9</v>
      </c>
      <c r="F5" s="119"/>
      <c r="G5" s="119"/>
      <c r="H5" s="119"/>
      <c r="I5" s="119"/>
      <c r="J5" s="119"/>
      <c r="K5" s="119"/>
      <c r="L5" s="118" t="s">
        <v>10</v>
      </c>
      <c r="M5" s="118"/>
      <c r="N5" s="118"/>
      <c r="O5" s="158"/>
      <c r="P5" s="158"/>
      <c r="Q5" s="158"/>
      <c r="R5" s="158"/>
      <c r="S5" s="158"/>
      <c r="T5" s="158"/>
      <c r="U5" s="158"/>
      <c r="V5" s="159"/>
      <c r="W5" s="147"/>
      <c r="X5" s="148"/>
      <c r="Y5" s="149"/>
      <c r="Z5" s="107"/>
      <c r="AA5" s="107"/>
      <c r="AB5" s="107"/>
      <c r="AC5" s="107"/>
      <c r="AD5" s="107"/>
      <c r="AE5" s="107"/>
      <c r="AF5" s="107"/>
      <c r="AG5" s="107"/>
      <c r="AH5" s="108"/>
    </row>
    <row r="6" spans="2:78" ht="5.15" customHeight="1" x14ac:dyDescent="0.3">
      <c r="B6" s="99"/>
      <c r="C6" s="100"/>
      <c r="D6" s="100"/>
      <c r="E6" s="100"/>
      <c r="F6" s="4"/>
      <c r="G6" s="4"/>
      <c r="H6" s="4"/>
      <c r="I6" s="4"/>
      <c r="J6" s="4"/>
      <c r="K6" s="4"/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147"/>
      <c r="X6" s="148"/>
      <c r="Y6" s="149"/>
      <c r="Z6" s="107"/>
      <c r="AA6" s="107"/>
      <c r="AB6" s="107"/>
      <c r="AC6" s="107"/>
      <c r="AD6" s="107"/>
      <c r="AE6" s="107"/>
      <c r="AF6" s="107"/>
      <c r="AG6" s="107"/>
      <c r="AH6" s="108"/>
    </row>
    <row r="7" spans="2:78" ht="15.65" customHeight="1" x14ac:dyDescent="0.3">
      <c r="B7" s="101"/>
      <c r="C7" s="102"/>
      <c r="D7" s="102"/>
      <c r="E7" s="102"/>
      <c r="F7" s="7"/>
      <c r="G7" s="7"/>
      <c r="H7" s="8"/>
      <c r="I7" s="7" t="s">
        <v>11</v>
      </c>
      <c r="J7" s="7"/>
      <c r="K7" s="7"/>
      <c r="L7" s="7"/>
      <c r="M7" s="7"/>
      <c r="N7" s="7"/>
      <c r="O7" s="7"/>
      <c r="P7" s="8"/>
      <c r="Q7" s="7" t="s">
        <v>12</v>
      </c>
      <c r="R7" s="7"/>
      <c r="S7" s="7"/>
      <c r="T7" s="7"/>
      <c r="U7" s="7"/>
      <c r="V7" s="7"/>
      <c r="W7" s="150"/>
      <c r="X7" s="151"/>
      <c r="Y7" s="152"/>
      <c r="Z7" s="107"/>
      <c r="AA7" s="107"/>
      <c r="AB7" s="107"/>
      <c r="AC7" s="107"/>
      <c r="AD7" s="107"/>
      <c r="AE7" s="107"/>
      <c r="AF7" s="107"/>
      <c r="AG7" s="107"/>
      <c r="AH7" s="108"/>
    </row>
    <row r="8" spans="2:78" ht="18" customHeight="1" x14ac:dyDescent="0.3">
      <c r="B8" s="101"/>
      <c r="C8" s="102"/>
      <c r="D8" s="102"/>
      <c r="E8" s="102"/>
      <c r="F8" s="7"/>
      <c r="G8" s="7"/>
      <c r="H8" s="8"/>
      <c r="I8" s="7" t="s">
        <v>13</v>
      </c>
      <c r="J8" s="7"/>
      <c r="K8" s="7"/>
      <c r="L8" s="7"/>
      <c r="M8" s="7"/>
      <c r="N8" s="7"/>
      <c r="O8" s="7"/>
      <c r="P8" s="8"/>
      <c r="Q8" s="7" t="s">
        <v>14</v>
      </c>
      <c r="R8" s="7"/>
      <c r="S8" s="7"/>
      <c r="T8" s="7"/>
      <c r="U8" s="7"/>
      <c r="V8" s="7"/>
      <c r="W8" s="105" t="s">
        <v>15</v>
      </c>
      <c r="X8" s="81"/>
      <c r="Y8" s="81"/>
      <c r="Z8" s="81" t="s">
        <v>15</v>
      </c>
      <c r="AA8" s="81"/>
      <c r="AB8" s="81"/>
      <c r="AC8" s="81" t="s">
        <v>15</v>
      </c>
      <c r="AD8" s="81"/>
      <c r="AE8" s="81"/>
      <c r="AF8" s="81" t="s">
        <v>15</v>
      </c>
      <c r="AG8" s="81"/>
      <c r="AH8" s="82"/>
    </row>
    <row r="9" spans="2:78" ht="5.15" customHeight="1" thickBot="1" x14ac:dyDescent="0.35">
      <c r="B9" s="103"/>
      <c r="C9" s="104"/>
      <c r="D9" s="104"/>
      <c r="E9" s="104"/>
      <c r="F9" s="9"/>
      <c r="G9" s="9"/>
      <c r="H9" s="9"/>
      <c r="I9" s="9"/>
      <c r="J9" s="9"/>
      <c r="K9" s="9"/>
      <c r="L9" s="9"/>
      <c r="M9" s="9"/>
      <c r="N9" s="9"/>
      <c r="O9" s="9"/>
      <c r="P9" s="10"/>
      <c r="Q9" s="10"/>
      <c r="R9" s="10"/>
      <c r="S9" s="10"/>
      <c r="T9" s="10"/>
      <c r="U9" s="10"/>
      <c r="V9" s="10"/>
      <c r="W9" s="106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4"/>
    </row>
    <row r="10" spans="2:78" ht="13.5" thickTop="1" x14ac:dyDescent="0.3">
      <c r="B10" s="85" t="s">
        <v>16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7"/>
      <c r="Z10" s="85" t="s">
        <v>17</v>
      </c>
      <c r="AA10" s="86"/>
      <c r="AB10" s="86"/>
      <c r="AC10" s="86"/>
      <c r="AD10" s="86"/>
      <c r="AE10" s="86"/>
      <c r="AF10" s="86"/>
      <c r="AG10" s="86"/>
      <c r="AH10" s="87"/>
      <c r="BE10" s="3"/>
    </row>
    <row r="11" spans="2:78" x14ac:dyDescent="0.3">
      <c r="B11" s="11" t="s">
        <v>18</v>
      </c>
      <c r="C11" s="88" t="s">
        <v>19</v>
      </c>
      <c r="D11" s="88"/>
      <c r="E11" s="88"/>
      <c r="F11" s="88"/>
      <c r="G11" s="88"/>
      <c r="H11" s="88" t="s">
        <v>20</v>
      </c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 t="s">
        <v>21</v>
      </c>
      <c r="T11" s="88"/>
      <c r="U11" s="88"/>
      <c r="V11" s="88"/>
      <c r="W11" s="88" t="s">
        <v>22</v>
      </c>
      <c r="X11" s="88"/>
      <c r="Y11" s="89"/>
      <c r="Z11" s="90" t="s">
        <v>21</v>
      </c>
      <c r="AA11" s="88"/>
      <c r="AB11" s="88"/>
      <c r="AC11" s="88"/>
      <c r="AD11" s="88" t="s">
        <v>23</v>
      </c>
      <c r="AE11" s="88"/>
      <c r="AF11" s="88"/>
      <c r="AG11" s="88"/>
      <c r="AH11" s="89"/>
      <c r="AL11" s="12" t="s">
        <v>19</v>
      </c>
      <c r="AM11" s="12" t="s">
        <v>20</v>
      </c>
      <c r="AN11" s="12" t="s">
        <v>24</v>
      </c>
      <c r="AO11" s="13" t="s">
        <v>25</v>
      </c>
      <c r="AP11" s="14" t="s">
        <v>26</v>
      </c>
      <c r="AR11" s="15" t="s">
        <v>27</v>
      </c>
      <c r="AS11" s="15" t="s">
        <v>28</v>
      </c>
    </row>
    <row r="12" spans="2:78" s="17" customFormat="1" ht="16" customHeight="1" x14ac:dyDescent="0.3">
      <c r="B12" s="16">
        <v>1</v>
      </c>
      <c r="C12" s="57"/>
      <c r="D12" s="57"/>
      <c r="E12" s="57"/>
      <c r="F12" s="57"/>
      <c r="G12" s="57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57"/>
      <c r="T12" s="57"/>
      <c r="U12" s="57"/>
      <c r="V12" s="57"/>
      <c r="W12" s="57"/>
      <c r="X12" s="57"/>
      <c r="Y12" s="58"/>
      <c r="Z12" s="78"/>
      <c r="AA12" s="78"/>
      <c r="AB12" s="78"/>
      <c r="AC12" s="78"/>
      <c r="AD12" s="76"/>
      <c r="AE12" s="76"/>
      <c r="AF12" s="76"/>
      <c r="AG12" s="76"/>
      <c r="AH12" s="77"/>
      <c r="AK12" s="1"/>
      <c r="AL12" s="12" t="s">
        <v>29</v>
      </c>
      <c r="AM12" s="12" t="s">
        <v>30</v>
      </c>
      <c r="AN12" s="18">
        <f>480*1350</f>
        <v>648000</v>
      </c>
      <c r="AO12" s="13">
        <v>2</v>
      </c>
      <c r="AP12" s="19">
        <f>AO12*AN12</f>
        <v>1296000</v>
      </c>
      <c r="AQ12" s="1"/>
      <c r="AR12" s="20"/>
      <c r="AS12" s="21"/>
    </row>
    <row r="13" spans="2:78" s="17" customFormat="1" ht="16" customHeight="1" x14ac:dyDescent="0.3">
      <c r="B13" s="16">
        <v>2</v>
      </c>
      <c r="C13" s="57"/>
      <c r="D13" s="57"/>
      <c r="E13" s="57"/>
      <c r="F13" s="57"/>
      <c r="G13" s="57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57"/>
      <c r="T13" s="57"/>
      <c r="U13" s="57"/>
      <c r="V13" s="57"/>
      <c r="W13" s="57"/>
      <c r="X13" s="57"/>
      <c r="Y13" s="58"/>
      <c r="Z13" s="78"/>
      <c r="AA13" s="78"/>
      <c r="AB13" s="78"/>
      <c r="AC13" s="78"/>
      <c r="AD13" s="79"/>
      <c r="AE13" s="79"/>
      <c r="AF13" s="79"/>
      <c r="AG13" s="79"/>
      <c r="AH13" s="80"/>
      <c r="AK13" s="1"/>
      <c r="AL13" s="12" t="s">
        <v>31</v>
      </c>
      <c r="AM13" s="12" t="s">
        <v>32</v>
      </c>
      <c r="AN13" s="18">
        <f t="shared" ref="AN13:AN15" si="0">480*1350</f>
        <v>648000</v>
      </c>
      <c r="AO13" s="13"/>
      <c r="AP13" s="19">
        <f t="shared" ref="AP13:AP19" si="1">AO13*AN13</f>
        <v>0</v>
      </c>
      <c r="AQ13" s="1"/>
      <c r="AR13" s="20"/>
      <c r="AS13" s="21"/>
    </row>
    <row r="14" spans="2:78" s="17" customFormat="1" ht="16" customHeight="1" x14ac:dyDescent="0.3">
      <c r="B14" s="16">
        <v>3</v>
      </c>
      <c r="C14" s="57"/>
      <c r="D14" s="57"/>
      <c r="E14" s="57"/>
      <c r="F14" s="57"/>
      <c r="G14" s="57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57"/>
      <c r="T14" s="57"/>
      <c r="U14" s="57"/>
      <c r="V14" s="57"/>
      <c r="W14" s="57"/>
      <c r="X14" s="57"/>
      <c r="Y14" s="58"/>
      <c r="Z14" s="78"/>
      <c r="AA14" s="78"/>
      <c r="AB14" s="78"/>
      <c r="AC14" s="78"/>
      <c r="AD14" s="57"/>
      <c r="AE14" s="57"/>
      <c r="AF14" s="57"/>
      <c r="AG14" s="57"/>
      <c r="AH14" s="58"/>
      <c r="AK14" s="1"/>
      <c r="AL14" s="12" t="s">
        <v>33</v>
      </c>
      <c r="AM14" s="12" t="s">
        <v>34</v>
      </c>
      <c r="AN14" s="18">
        <f t="shared" si="0"/>
        <v>648000</v>
      </c>
      <c r="AO14" s="13"/>
      <c r="AP14" s="19">
        <f t="shared" si="1"/>
        <v>0</v>
      </c>
      <c r="AQ14" s="1"/>
      <c r="AR14" s="20"/>
      <c r="AS14" s="21"/>
    </row>
    <row r="15" spans="2:78" s="17" customFormat="1" ht="16" customHeight="1" x14ac:dyDescent="0.3">
      <c r="B15" s="16">
        <v>4</v>
      </c>
      <c r="C15" s="57"/>
      <c r="D15" s="57"/>
      <c r="E15" s="57"/>
      <c r="F15" s="57"/>
      <c r="G15" s="57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57"/>
      <c r="T15" s="57"/>
      <c r="U15" s="57"/>
      <c r="V15" s="57"/>
      <c r="W15" s="57"/>
      <c r="X15" s="57"/>
      <c r="Y15" s="58"/>
      <c r="Z15" s="75"/>
      <c r="AA15" s="75"/>
      <c r="AB15" s="75"/>
      <c r="AC15" s="75"/>
      <c r="AD15" s="76"/>
      <c r="AE15" s="76"/>
      <c r="AF15" s="76"/>
      <c r="AG15" s="76"/>
      <c r="AH15" s="77"/>
      <c r="AK15" s="1"/>
      <c r="AL15" s="12" t="s">
        <v>35</v>
      </c>
      <c r="AM15" s="12" t="s">
        <v>36</v>
      </c>
      <c r="AN15" s="18">
        <f t="shared" si="0"/>
        <v>648000</v>
      </c>
      <c r="AO15" s="13"/>
      <c r="AP15" s="19">
        <f t="shared" si="1"/>
        <v>0</v>
      </c>
      <c r="AQ15" s="1"/>
      <c r="AR15" s="20"/>
      <c r="AS15" s="21"/>
    </row>
    <row r="16" spans="2:78" s="17" customFormat="1" ht="16" customHeight="1" x14ac:dyDescent="0.3">
      <c r="B16" s="16">
        <v>5</v>
      </c>
      <c r="C16" s="57"/>
      <c r="D16" s="57"/>
      <c r="E16" s="57"/>
      <c r="F16" s="57"/>
      <c r="G16" s="57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57"/>
      <c r="T16" s="57"/>
      <c r="U16" s="57"/>
      <c r="V16" s="57"/>
      <c r="W16" s="57"/>
      <c r="X16" s="57"/>
      <c r="Y16" s="58"/>
      <c r="Z16" s="75"/>
      <c r="AA16" s="75"/>
      <c r="AB16" s="75"/>
      <c r="AC16" s="75"/>
      <c r="AD16" s="76"/>
      <c r="AE16" s="76"/>
      <c r="AF16" s="76"/>
      <c r="AG16" s="76"/>
      <c r="AH16" s="77"/>
      <c r="AK16" s="1"/>
      <c r="AL16" s="12" t="s">
        <v>37</v>
      </c>
      <c r="AM16" s="12" t="s">
        <v>38</v>
      </c>
      <c r="AN16" s="18">
        <f>480*3655</f>
        <v>1754400</v>
      </c>
      <c r="AO16" s="13"/>
      <c r="AP16" s="19">
        <f t="shared" si="1"/>
        <v>0</v>
      </c>
      <c r="AQ16" s="1"/>
      <c r="AR16" s="20"/>
      <c r="AS16" s="21"/>
    </row>
    <row r="17" spans="1:46" s="17" customFormat="1" ht="16" customHeight="1" x14ac:dyDescent="0.3">
      <c r="B17" s="16">
        <v>6</v>
      </c>
      <c r="C17" s="57"/>
      <c r="D17" s="57"/>
      <c r="E17" s="57"/>
      <c r="F17" s="57"/>
      <c r="G17" s="57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57"/>
      <c r="T17" s="57"/>
      <c r="U17" s="57"/>
      <c r="V17" s="57"/>
      <c r="W17" s="57"/>
      <c r="X17" s="57"/>
      <c r="Y17" s="58"/>
      <c r="Z17" s="75"/>
      <c r="AA17" s="75"/>
      <c r="AB17" s="75"/>
      <c r="AC17" s="75"/>
      <c r="AD17" s="71"/>
      <c r="AE17" s="72"/>
      <c r="AF17" s="72"/>
      <c r="AG17" s="72"/>
      <c r="AH17" s="73"/>
      <c r="AK17" s="1"/>
      <c r="AL17" s="12" t="s">
        <v>39</v>
      </c>
      <c r="AM17" s="12" t="s">
        <v>40</v>
      </c>
      <c r="AN17" s="18">
        <f>480*682</f>
        <v>327360</v>
      </c>
      <c r="AO17" s="13"/>
      <c r="AP17" s="19">
        <f t="shared" si="1"/>
        <v>0</v>
      </c>
      <c r="AQ17" s="1"/>
      <c r="AR17" s="20"/>
      <c r="AS17" s="21"/>
    </row>
    <row r="18" spans="1:46" s="17" customFormat="1" ht="16" customHeight="1" x14ac:dyDescent="0.3">
      <c r="B18" s="16">
        <v>7</v>
      </c>
      <c r="C18" s="57"/>
      <c r="D18" s="57"/>
      <c r="E18" s="57"/>
      <c r="F18" s="57"/>
      <c r="G18" s="57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57"/>
      <c r="T18" s="57"/>
      <c r="U18" s="57"/>
      <c r="V18" s="57"/>
      <c r="W18" s="57"/>
      <c r="X18" s="57"/>
      <c r="Y18" s="58"/>
      <c r="Z18" s="59"/>
      <c r="AA18" s="60"/>
      <c r="AB18" s="60"/>
      <c r="AC18" s="60"/>
      <c r="AD18" s="71"/>
      <c r="AE18" s="72"/>
      <c r="AF18" s="72"/>
      <c r="AG18" s="72"/>
      <c r="AH18" s="73"/>
      <c r="AK18" s="1"/>
      <c r="AL18" s="12" t="s">
        <v>41</v>
      </c>
      <c r="AM18" s="12" t="s">
        <v>42</v>
      </c>
      <c r="AN18" s="18">
        <f>480*682</f>
        <v>327360</v>
      </c>
      <c r="AO18" s="13"/>
      <c r="AP18" s="19">
        <f t="shared" si="1"/>
        <v>0</v>
      </c>
      <c r="AQ18" s="1"/>
      <c r="AR18" s="20"/>
      <c r="AS18" s="22"/>
    </row>
    <row r="19" spans="1:46" s="17" customFormat="1" ht="16" customHeight="1" x14ac:dyDescent="0.3">
      <c r="A19" s="17">
        <v>15</v>
      </c>
      <c r="B19" s="16">
        <v>8</v>
      </c>
      <c r="C19" s="57"/>
      <c r="D19" s="57"/>
      <c r="E19" s="57"/>
      <c r="F19" s="57"/>
      <c r="G19" s="57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57"/>
      <c r="T19" s="57"/>
      <c r="U19" s="57"/>
      <c r="V19" s="57"/>
      <c r="W19" s="57"/>
      <c r="X19" s="57"/>
      <c r="Y19" s="58"/>
      <c r="Z19" s="59"/>
      <c r="AA19" s="60"/>
      <c r="AB19" s="60"/>
      <c r="AC19" s="60"/>
      <c r="AD19" s="60"/>
      <c r="AE19" s="60"/>
      <c r="AF19" s="60"/>
      <c r="AG19" s="60"/>
      <c r="AH19" s="61"/>
      <c r="AK19" s="1"/>
      <c r="AL19" s="12" t="s">
        <v>43</v>
      </c>
      <c r="AM19" s="12" t="s">
        <v>44</v>
      </c>
      <c r="AN19" s="18">
        <f t="shared" ref="AN19" si="2">480*1350</f>
        <v>648000</v>
      </c>
      <c r="AO19" s="13"/>
      <c r="AP19" s="19">
        <f t="shared" si="1"/>
        <v>0</v>
      </c>
      <c r="AQ19" s="1"/>
      <c r="AR19" s="20"/>
      <c r="AS19" s="22"/>
    </row>
    <row r="20" spans="1:46" s="17" customFormat="1" ht="16" customHeight="1" x14ac:dyDescent="0.3">
      <c r="B20" s="16">
        <v>9</v>
      </c>
      <c r="C20" s="57"/>
      <c r="D20" s="57"/>
      <c r="E20" s="57"/>
      <c r="F20" s="57"/>
      <c r="G20" s="57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57"/>
      <c r="T20" s="57"/>
      <c r="U20" s="57"/>
      <c r="V20" s="57"/>
      <c r="W20" s="57"/>
      <c r="X20" s="57"/>
      <c r="Y20" s="58"/>
      <c r="Z20" s="59"/>
      <c r="AA20" s="60"/>
      <c r="AB20" s="60"/>
      <c r="AC20" s="60"/>
      <c r="AD20" s="70"/>
      <c r="AE20" s="60"/>
      <c r="AF20" s="60"/>
      <c r="AG20" s="60"/>
      <c r="AH20" s="61"/>
      <c r="AK20" s="1"/>
      <c r="AL20" s="12" t="s">
        <v>45</v>
      </c>
      <c r="AM20" s="12"/>
      <c r="AN20" s="18"/>
      <c r="AO20" s="13"/>
      <c r="AP20" s="19"/>
      <c r="AQ20" s="1"/>
      <c r="AR20" s="23">
        <v>3</v>
      </c>
      <c r="AS20" s="24">
        <v>2</v>
      </c>
    </row>
    <row r="21" spans="1:46" s="17" customFormat="1" ht="16" customHeight="1" x14ac:dyDescent="0.3">
      <c r="B21" s="16">
        <v>10</v>
      </c>
      <c r="C21" s="57"/>
      <c r="D21" s="57"/>
      <c r="E21" s="57"/>
      <c r="F21" s="57"/>
      <c r="G21" s="57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57"/>
      <c r="T21" s="57"/>
      <c r="U21" s="57"/>
      <c r="V21" s="57"/>
      <c r="W21" s="57"/>
      <c r="X21" s="57"/>
      <c r="Y21" s="58"/>
      <c r="Z21" s="65"/>
      <c r="AA21" s="60"/>
      <c r="AB21" s="60"/>
      <c r="AC21" s="60"/>
      <c r="AD21" s="57"/>
      <c r="AE21" s="57"/>
      <c r="AF21" s="57"/>
      <c r="AG21" s="57"/>
      <c r="AH21" s="58"/>
      <c r="AK21" s="1"/>
      <c r="AL21" s="12" t="s">
        <v>46</v>
      </c>
      <c r="AM21" s="12"/>
      <c r="AN21" s="18"/>
      <c r="AO21" s="13"/>
      <c r="AP21" s="19"/>
      <c r="AQ21" s="1"/>
      <c r="AR21" s="23">
        <v>3</v>
      </c>
      <c r="AS21" s="24">
        <v>2</v>
      </c>
    </row>
    <row r="22" spans="1:46" s="17" customFormat="1" ht="16" customHeight="1" x14ac:dyDescent="0.3">
      <c r="B22" s="16">
        <v>11</v>
      </c>
      <c r="C22" s="57"/>
      <c r="D22" s="57"/>
      <c r="E22" s="57"/>
      <c r="F22" s="57"/>
      <c r="G22" s="57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57"/>
      <c r="T22" s="57"/>
      <c r="U22" s="57"/>
      <c r="V22" s="57"/>
      <c r="W22" s="57"/>
      <c r="X22" s="57"/>
      <c r="Y22" s="58"/>
      <c r="Z22" s="59"/>
      <c r="AA22" s="60"/>
      <c r="AB22" s="60"/>
      <c r="AC22" s="60"/>
      <c r="AD22" s="57"/>
      <c r="AE22" s="57"/>
      <c r="AF22" s="57"/>
      <c r="AG22" s="57"/>
      <c r="AH22" s="58"/>
      <c r="AK22" s="1"/>
      <c r="AL22" s="12"/>
      <c r="AM22" s="12"/>
      <c r="AN22" s="18"/>
      <c r="AO22" s="13"/>
      <c r="AP22" s="19"/>
      <c r="AQ22" s="1"/>
      <c r="AR22" s="23"/>
      <c r="AS22" s="24"/>
    </row>
    <row r="23" spans="1:46" s="17" customFormat="1" ht="16" customHeight="1" x14ac:dyDescent="0.3">
      <c r="B23" s="16">
        <v>12</v>
      </c>
      <c r="C23" s="57"/>
      <c r="D23" s="57"/>
      <c r="E23" s="57"/>
      <c r="F23" s="57"/>
      <c r="G23" s="57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57"/>
      <c r="T23" s="57"/>
      <c r="U23" s="57"/>
      <c r="V23" s="57"/>
      <c r="W23" s="57"/>
      <c r="X23" s="57"/>
      <c r="Y23" s="58"/>
      <c r="Z23" s="68"/>
      <c r="AA23" s="69"/>
      <c r="AB23" s="69"/>
      <c r="AC23" s="69"/>
      <c r="AD23" s="66"/>
      <c r="AE23" s="66"/>
      <c r="AF23" s="66"/>
      <c r="AG23" s="66"/>
      <c r="AH23" s="67"/>
      <c r="AK23" s="1"/>
      <c r="AL23" s="12"/>
      <c r="AM23" s="12"/>
      <c r="AN23" s="18"/>
      <c r="AO23" s="13"/>
      <c r="AP23" s="19"/>
      <c r="AQ23" s="1"/>
      <c r="AR23" s="23"/>
      <c r="AS23" s="24"/>
    </row>
    <row r="24" spans="1:46" s="17" customFormat="1" ht="16" customHeight="1" x14ac:dyDescent="0.3">
      <c r="B24" s="16">
        <v>13</v>
      </c>
      <c r="C24" s="57"/>
      <c r="D24" s="57"/>
      <c r="E24" s="57"/>
      <c r="F24" s="57"/>
      <c r="G24" s="57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57"/>
      <c r="T24" s="57"/>
      <c r="U24" s="57"/>
      <c r="V24" s="57"/>
      <c r="W24" s="57"/>
      <c r="X24" s="57"/>
      <c r="Y24" s="58"/>
      <c r="Z24" s="65"/>
      <c r="AA24" s="60"/>
      <c r="AB24" s="60"/>
      <c r="AC24" s="60"/>
      <c r="AD24" s="66"/>
      <c r="AE24" s="66"/>
      <c r="AF24" s="66"/>
      <c r="AG24" s="66"/>
      <c r="AH24" s="67"/>
      <c r="AK24" s="1"/>
      <c r="AL24" s="12"/>
      <c r="AM24" s="12"/>
      <c r="AN24" s="18"/>
      <c r="AO24" s="13"/>
      <c r="AP24" s="19"/>
      <c r="AQ24" s="1"/>
      <c r="AR24" s="23"/>
      <c r="AS24" s="25"/>
    </row>
    <row r="25" spans="1:46" s="17" customFormat="1" ht="16" customHeight="1" x14ac:dyDescent="0.3">
      <c r="B25" s="16">
        <v>14</v>
      </c>
      <c r="C25" s="57"/>
      <c r="D25" s="57"/>
      <c r="E25" s="57"/>
      <c r="F25" s="57"/>
      <c r="G25" s="57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57"/>
      <c r="T25" s="57"/>
      <c r="U25" s="57"/>
      <c r="V25" s="57"/>
      <c r="W25" s="57"/>
      <c r="X25" s="57"/>
      <c r="Y25" s="58"/>
      <c r="Z25" s="62"/>
      <c r="AA25" s="63"/>
      <c r="AB25" s="63"/>
      <c r="AC25" s="64"/>
      <c r="AD25" s="60"/>
      <c r="AE25" s="60"/>
      <c r="AF25" s="60"/>
      <c r="AG25" s="60"/>
      <c r="AH25" s="61"/>
      <c r="AK25" s="1"/>
      <c r="AL25" s="12"/>
      <c r="AM25" s="12"/>
      <c r="AN25" s="18"/>
      <c r="AO25" s="13"/>
      <c r="AP25" s="19"/>
      <c r="AQ25" s="1"/>
      <c r="AR25" s="23"/>
      <c r="AS25" s="25"/>
    </row>
    <row r="26" spans="1:46" s="17" customFormat="1" ht="16" customHeight="1" x14ac:dyDescent="0.3">
      <c r="B26" s="16">
        <v>15</v>
      </c>
      <c r="C26" s="57"/>
      <c r="D26" s="57"/>
      <c r="E26" s="57"/>
      <c r="F26" s="57"/>
      <c r="G26" s="57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57"/>
      <c r="T26" s="57"/>
      <c r="U26" s="57"/>
      <c r="V26" s="57"/>
      <c r="W26" s="57"/>
      <c r="X26" s="57"/>
      <c r="Y26" s="58"/>
      <c r="Z26" s="59"/>
      <c r="AA26" s="60"/>
      <c r="AB26" s="60"/>
      <c r="AC26" s="60"/>
      <c r="AD26" s="60"/>
      <c r="AE26" s="60"/>
      <c r="AF26" s="60"/>
      <c r="AG26" s="60"/>
      <c r="AH26" s="61"/>
      <c r="AK26" s="1"/>
      <c r="AL26" s="12"/>
      <c r="AM26" s="12"/>
      <c r="AN26" s="18"/>
      <c r="AO26" s="13"/>
      <c r="AP26" s="19"/>
      <c r="AQ26" s="1"/>
      <c r="AR26" s="23"/>
      <c r="AS26" s="25"/>
    </row>
    <row r="27" spans="1:46" s="17" customFormat="1" ht="16" customHeight="1" thickBot="1" x14ac:dyDescent="0.35">
      <c r="B27" s="26"/>
      <c r="C27" s="135"/>
      <c r="D27" s="136"/>
      <c r="E27" s="136"/>
      <c r="F27" s="136"/>
      <c r="G27" s="137"/>
      <c r="H27" s="138"/>
      <c r="I27" s="139"/>
      <c r="J27" s="139"/>
      <c r="K27" s="139"/>
      <c r="L27" s="139"/>
      <c r="M27" s="139"/>
      <c r="N27" s="139"/>
      <c r="O27" s="139"/>
      <c r="P27" s="139"/>
      <c r="Q27" s="139"/>
      <c r="R27" s="140"/>
      <c r="S27" s="135"/>
      <c r="T27" s="136"/>
      <c r="U27" s="136"/>
      <c r="V27" s="137"/>
      <c r="W27" s="135"/>
      <c r="X27" s="136"/>
      <c r="Y27" s="141"/>
      <c r="Z27" s="142"/>
      <c r="AA27" s="143"/>
      <c r="AB27" s="143"/>
      <c r="AC27" s="144"/>
      <c r="AD27" s="145"/>
      <c r="AE27" s="143"/>
      <c r="AF27" s="143"/>
      <c r="AG27" s="143"/>
      <c r="AH27" s="146"/>
      <c r="AK27" s="1"/>
      <c r="AL27" s="12" t="s">
        <v>47</v>
      </c>
      <c r="AM27" s="12"/>
      <c r="AN27" s="18"/>
      <c r="AO27" s="19">
        <f>SUM(AO12:AO26)</f>
        <v>2</v>
      </c>
      <c r="AP27" s="19">
        <f>SUM(AP12:AP26)</f>
        <v>1296000</v>
      </c>
      <c r="AQ27" s="1"/>
      <c r="AR27" s="27"/>
      <c r="AS27" s="28"/>
    </row>
    <row r="28" spans="1:46" s="17" customFormat="1" ht="15" customHeight="1" thickTop="1" thickBot="1" x14ac:dyDescent="0.35">
      <c r="B28" s="39" t="s">
        <v>23</v>
      </c>
      <c r="C28" s="40"/>
      <c r="D28" s="40"/>
      <c r="E28" s="40"/>
      <c r="F28" s="40"/>
      <c r="G28" s="41"/>
      <c r="H28" s="42" t="s">
        <v>48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4"/>
      <c r="AK28" s="1"/>
      <c r="AL28" s="1"/>
      <c r="AM28" s="1"/>
      <c r="AN28" s="29"/>
      <c r="AO28" s="30"/>
      <c r="AP28" s="30"/>
      <c r="AQ28" s="30"/>
      <c r="AR28" s="30"/>
      <c r="AS28" s="30"/>
      <c r="AT28" s="30"/>
    </row>
    <row r="29" spans="1:46" ht="13.4" customHeight="1" thickTop="1" x14ac:dyDescent="0.3">
      <c r="A29" s="31"/>
      <c r="W29" s="45" t="s">
        <v>49</v>
      </c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31"/>
    </row>
    <row r="30" spans="1:46" ht="8.25" customHeight="1" x14ac:dyDescent="0.3"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spans="1:46" ht="16.399999999999999" hidden="1" customHeight="1" x14ac:dyDescent="0.3"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spans="1:46" ht="13.4" hidden="1" customHeight="1" x14ac:dyDescent="0.3"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spans="2:45" ht="12.75" hidden="1" customHeight="1" x14ac:dyDescent="0.3"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spans="2:45" ht="16.399999999999999" customHeight="1" x14ac:dyDescent="0.3"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spans="2:45" ht="13.4" customHeight="1" thickBot="1" x14ac:dyDescent="0.35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spans="2:45" ht="13.4" hidden="1" customHeight="1" thickBot="1" x14ac:dyDescent="0.3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</row>
    <row r="37" spans="2:45" ht="13" customHeight="1" thickTop="1" x14ac:dyDescent="0.3">
      <c r="B37" s="120"/>
      <c r="C37" s="121"/>
      <c r="D37" s="121"/>
      <c r="E37" s="121"/>
      <c r="F37" s="121"/>
      <c r="G37" s="124" t="s">
        <v>0</v>
      </c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5"/>
      <c r="W37" s="128" t="s">
        <v>1</v>
      </c>
      <c r="X37" s="129"/>
      <c r="Y37" s="129"/>
      <c r="Z37" s="129" t="s">
        <v>2</v>
      </c>
      <c r="AA37" s="129"/>
      <c r="AB37" s="129"/>
      <c r="AC37" s="129" t="s">
        <v>3</v>
      </c>
      <c r="AD37" s="129"/>
      <c r="AE37" s="129"/>
      <c r="AF37" s="130" t="s">
        <v>4</v>
      </c>
      <c r="AG37" s="130"/>
      <c r="AH37" s="131"/>
    </row>
    <row r="38" spans="2:45" ht="13" customHeight="1" x14ac:dyDescent="0.3">
      <c r="B38" s="122"/>
      <c r="C38" s="123"/>
      <c r="D38" s="123"/>
      <c r="E38" s="123"/>
      <c r="F38" s="123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7"/>
      <c r="W38" s="132" t="str">
        <f>IF(W3="","",W3)</f>
        <v/>
      </c>
      <c r="X38" s="133"/>
      <c r="Y38" s="134"/>
      <c r="Z38" s="107"/>
      <c r="AA38" s="107"/>
      <c r="AB38" s="107"/>
      <c r="AC38" s="107"/>
      <c r="AD38" s="107"/>
      <c r="AE38" s="107"/>
      <c r="AF38" s="107"/>
      <c r="AG38" s="107"/>
      <c r="AH38" s="108"/>
    </row>
    <row r="39" spans="2:45" ht="14.15" customHeight="1" x14ac:dyDescent="0.3">
      <c r="B39" s="109" t="s">
        <v>6</v>
      </c>
      <c r="C39" s="110"/>
      <c r="D39" s="110"/>
      <c r="E39" s="110"/>
      <c r="F39" s="111" t="str">
        <f>IF(F4="","",F4)</f>
        <v/>
      </c>
      <c r="G39" s="111"/>
      <c r="H39" s="111"/>
      <c r="I39" s="111"/>
      <c r="J39" s="111"/>
      <c r="K39" s="112"/>
      <c r="L39" s="113" t="s">
        <v>7</v>
      </c>
      <c r="M39" s="110"/>
      <c r="N39" s="114"/>
      <c r="O39" s="115" t="str">
        <f>IF(O4="","",O4)</f>
        <v/>
      </c>
      <c r="P39" s="111"/>
      <c r="Q39" s="111"/>
      <c r="R39" s="111"/>
      <c r="S39" s="111"/>
      <c r="T39" s="111"/>
      <c r="U39" s="111"/>
      <c r="V39" s="116"/>
      <c r="W39" s="93"/>
      <c r="X39" s="94"/>
      <c r="Y39" s="95"/>
      <c r="Z39" s="107"/>
      <c r="AA39" s="107"/>
      <c r="AB39" s="107"/>
      <c r="AC39" s="107"/>
      <c r="AD39" s="107"/>
      <c r="AE39" s="107"/>
      <c r="AF39" s="107"/>
      <c r="AG39" s="107"/>
      <c r="AH39" s="108"/>
    </row>
    <row r="40" spans="2:45" ht="14.15" customHeight="1" x14ac:dyDescent="0.3">
      <c r="B40" s="117" t="s">
        <v>8</v>
      </c>
      <c r="C40" s="118"/>
      <c r="D40" s="118"/>
      <c r="E40" s="119" t="s">
        <v>9</v>
      </c>
      <c r="F40" s="119"/>
      <c r="G40" s="119"/>
      <c r="H40" s="119"/>
      <c r="I40" s="119"/>
      <c r="J40" s="119"/>
      <c r="K40" s="119"/>
      <c r="L40" s="118" t="s">
        <v>10</v>
      </c>
      <c r="M40" s="118"/>
      <c r="N40" s="118"/>
      <c r="O40" s="91" t="str">
        <f>IF(O5="","",O5)</f>
        <v/>
      </c>
      <c r="P40" s="91"/>
      <c r="Q40" s="91"/>
      <c r="R40" s="91"/>
      <c r="S40" s="91"/>
      <c r="T40" s="91"/>
      <c r="U40" s="91"/>
      <c r="V40" s="92"/>
      <c r="W40" s="93" t="str">
        <f>IF(W5="","",W5)</f>
        <v/>
      </c>
      <c r="X40" s="94"/>
      <c r="Y40" s="95"/>
      <c r="Z40" s="107"/>
      <c r="AA40" s="107"/>
      <c r="AB40" s="107"/>
      <c r="AC40" s="107"/>
      <c r="AD40" s="107"/>
      <c r="AE40" s="107"/>
      <c r="AF40" s="107"/>
      <c r="AG40" s="107"/>
      <c r="AH40" s="108"/>
    </row>
    <row r="41" spans="2:45" ht="5.15" customHeight="1" x14ac:dyDescent="0.3">
      <c r="B41" s="99"/>
      <c r="C41" s="100"/>
      <c r="D41" s="100"/>
      <c r="E41" s="100"/>
      <c r="F41" s="4"/>
      <c r="G41" s="4"/>
      <c r="H41" s="4"/>
      <c r="I41" s="4"/>
      <c r="J41" s="4"/>
      <c r="K41" s="4"/>
      <c r="L41" s="5"/>
      <c r="M41" s="5"/>
      <c r="N41" s="5"/>
      <c r="O41" s="6"/>
      <c r="P41" s="6"/>
      <c r="Q41" s="6"/>
      <c r="R41" s="6"/>
      <c r="S41" s="6"/>
      <c r="T41" s="6"/>
      <c r="U41" s="6"/>
      <c r="V41" s="36"/>
      <c r="W41" s="93"/>
      <c r="X41" s="94"/>
      <c r="Y41" s="95"/>
      <c r="Z41" s="107"/>
      <c r="AA41" s="107"/>
      <c r="AB41" s="107"/>
      <c r="AC41" s="107"/>
      <c r="AD41" s="107"/>
      <c r="AE41" s="107"/>
      <c r="AF41" s="107"/>
      <c r="AG41" s="107"/>
      <c r="AH41" s="108"/>
    </row>
    <row r="42" spans="2:45" ht="15.65" customHeight="1" x14ac:dyDescent="0.3">
      <c r="B42" s="101"/>
      <c r="C42" s="102"/>
      <c r="D42" s="102"/>
      <c r="E42" s="102"/>
      <c r="F42" s="7"/>
      <c r="G42" s="7"/>
      <c r="H42" s="8"/>
      <c r="I42" s="7" t="s">
        <v>11</v>
      </c>
      <c r="J42" s="7"/>
      <c r="K42" s="7"/>
      <c r="L42" s="7"/>
      <c r="M42" s="7"/>
      <c r="N42" s="7"/>
      <c r="O42" s="7"/>
      <c r="P42" s="8"/>
      <c r="Q42" s="7" t="s">
        <v>12</v>
      </c>
      <c r="R42" s="7"/>
      <c r="S42" s="7"/>
      <c r="T42" s="7"/>
      <c r="U42" s="7"/>
      <c r="V42" s="37"/>
      <c r="W42" s="96"/>
      <c r="X42" s="97"/>
      <c r="Y42" s="98"/>
      <c r="Z42" s="107"/>
      <c r="AA42" s="107"/>
      <c r="AB42" s="107"/>
      <c r="AC42" s="107"/>
      <c r="AD42" s="107"/>
      <c r="AE42" s="107"/>
      <c r="AF42" s="107"/>
      <c r="AG42" s="107"/>
      <c r="AH42" s="108"/>
    </row>
    <row r="43" spans="2:45" ht="18" customHeight="1" x14ac:dyDescent="0.3">
      <c r="B43" s="101"/>
      <c r="C43" s="102"/>
      <c r="D43" s="102"/>
      <c r="E43" s="102"/>
      <c r="F43" s="7"/>
      <c r="G43" s="7"/>
      <c r="H43" s="8"/>
      <c r="I43" s="7" t="s">
        <v>13</v>
      </c>
      <c r="J43" s="7"/>
      <c r="K43" s="7"/>
      <c r="L43" s="7"/>
      <c r="M43" s="7"/>
      <c r="N43" s="7"/>
      <c r="O43" s="7"/>
      <c r="P43" s="8"/>
      <c r="Q43" s="7" t="s">
        <v>14</v>
      </c>
      <c r="R43" s="7"/>
      <c r="S43" s="7"/>
      <c r="T43" s="7"/>
      <c r="U43" s="7"/>
      <c r="V43" s="37"/>
      <c r="W43" s="105" t="s">
        <v>15</v>
      </c>
      <c r="X43" s="81"/>
      <c r="Y43" s="81"/>
      <c r="Z43" s="81" t="s">
        <v>15</v>
      </c>
      <c r="AA43" s="81"/>
      <c r="AB43" s="81"/>
      <c r="AC43" s="81" t="s">
        <v>15</v>
      </c>
      <c r="AD43" s="81"/>
      <c r="AE43" s="81"/>
      <c r="AF43" s="81" t="s">
        <v>15</v>
      </c>
      <c r="AG43" s="81"/>
      <c r="AH43" s="82"/>
    </row>
    <row r="44" spans="2:45" ht="5.15" customHeight="1" thickBot="1" x14ac:dyDescent="0.35">
      <c r="B44" s="103"/>
      <c r="C44" s="104"/>
      <c r="D44" s="104"/>
      <c r="E44" s="104"/>
      <c r="F44" s="9"/>
      <c r="G44" s="9"/>
      <c r="H44" s="9"/>
      <c r="I44" s="9"/>
      <c r="J44" s="9"/>
      <c r="K44" s="9"/>
      <c r="L44" s="9"/>
      <c r="M44" s="9"/>
      <c r="N44" s="9"/>
      <c r="O44" s="9"/>
      <c r="P44" s="10"/>
      <c r="Q44" s="10"/>
      <c r="R44" s="10"/>
      <c r="S44" s="10"/>
      <c r="T44" s="10"/>
      <c r="U44" s="10"/>
      <c r="V44" s="38"/>
      <c r="W44" s="106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4"/>
    </row>
    <row r="45" spans="2:45" ht="13.5" thickTop="1" x14ac:dyDescent="0.3">
      <c r="B45" s="85" t="s">
        <v>16</v>
      </c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7"/>
      <c r="Z45" s="85" t="s">
        <v>17</v>
      </c>
      <c r="AA45" s="86"/>
      <c r="AB45" s="86"/>
      <c r="AC45" s="86"/>
      <c r="AD45" s="86"/>
      <c r="AE45" s="86"/>
      <c r="AF45" s="86"/>
      <c r="AG45" s="86"/>
      <c r="AH45" s="87"/>
    </row>
    <row r="46" spans="2:45" x14ac:dyDescent="0.3">
      <c r="B46" s="11" t="s">
        <v>18</v>
      </c>
      <c r="C46" s="88" t="s">
        <v>19</v>
      </c>
      <c r="D46" s="88"/>
      <c r="E46" s="88"/>
      <c r="F46" s="88"/>
      <c r="G46" s="88"/>
      <c r="H46" s="88" t="s">
        <v>20</v>
      </c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 t="s">
        <v>21</v>
      </c>
      <c r="T46" s="88"/>
      <c r="U46" s="88"/>
      <c r="V46" s="88"/>
      <c r="W46" s="88" t="s">
        <v>22</v>
      </c>
      <c r="X46" s="88"/>
      <c r="Y46" s="89"/>
      <c r="Z46" s="90" t="s">
        <v>21</v>
      </c>
      <c r="AA46" s="88"/>
      <c r="AB46" s="88"/>
      <c r="AC46" s="88"/>
      <c r="AD46" s="88" t="s">
        <v>23</v>
      </c>
      <c r="AE46" s="88"/>
      <c r="AF46" s="88"/>
      <c r="AG46" s="88"/>
      <c r="AH46" s="89"/>
      <c r="AL46" s="12" t="s">
        <v>19</v>
      </c>
      <c r="AM46" s="12" t="s">
        <v>20</v>
      </c>
      <c r="AN46" s="12" t="s">
        <v>24</v>
      </c>
      <c r="AO46" s="13" t="s">
        <v>25</v>
      </c>
      <c r="AP46" s="14" t="s">
        <v>26</v>
      </c>
      <c r="AR46" s="15" t="s">
        <v>27</v>
      </c>
      <c r="AS46" s="15" t="s">
        <v>28</v>
      </c>
    </row>
    <row r="47" spans="2:45" s="17" customFormat="1" ht="16" customHeight="1" x14ac:dyDescent="0.3">
      <c r="B47" s="16">
        <v>1</v>
      </c>
      <c r="C47" s="46"/>
      <c r="D47" s="47"/>
      <c r="E47" s="47"/>
      <c r="F47" s="47"/>
      <c r="G47" s="48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57"/>
      <c r="T47" s="57"/>
      <c r="U47" s="57"/>
      <c r="V47" s="57"/>
      <c r="W47" s="57"/>
      <c r="X47" s="57"/>
      <c r="Y47" s="58"/>
      <c r="Z47" s="78"/>
      <c r="AA47" s="78"/>
      <c r="AB47" s="78"/>
      <c r="AC47" s="78"/>
      <c r="AD47" s="76"/>
      <c r="AE47" s="76"/>
      <c r="AF47" s="76"/>
      <c r="AG47" s="76"/>
      <c r="AH47" s="77"/>
      <c r="AK47" s="1"/>
      <c r="AL47" s="12"/>
      <c r="AM47" s="12"/>
      <c r="AN47" s="18"/>
      <c r="AO47" s="13"/>
      <c r="AP47" s="19">
        <f>AO47*AN47</f>
        <v>0</v>
      </c>
      <c r="AQ47" s="1"/>
      <c r="AR47" s="23"/>
      <c r="AS47" s="25"/>
    </row>
    <row r="48" spans="2:45" s="17" customFormat="1" ht="16" customHeight="1" x14ac:dyDescent="0.3">
      <c r="B48" s="16">
        <v>2</v>
      </c>
      <c r="C48" s="46"/>
      <c r="D48" s="47"/>
      <c r="E48" s="47"/>
      <c r="F48" s="47"/>
      <c r="G48" s="48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57"/>
      <c r="T48" s="57"/>
      <c r="U48" s="57"/>
      <c r="V48" s="57"/>
      <c r="W48" s="57"/>
      <c r="X48" s="57"/>
      <c r="Y48" s="58"/>
      <c r="Z48" s="78"/>
      <c r="AA48" s="78"/>
      <c r="AB48" s="78"/>
      <c r="AC48" s="78"/>
      <c r="AD48" s="79"/>
      <c r="AE48" s="79"/>
      <c r="AF48" s="79"/>
      <c r="AG48" s="79"/>
      <c r="AH48" s="80"/>
      <c r="AK48" s="1"/>
      <c r="AL48" s="12"/>
      <c r="AM48" s="12"/>
      <c r="AN48" s="18"/>
      <c r="AO48" s="13"/>
      <c r="AP48" s="19">
        <f t="shared" ref="AP48:AP58" si="3">AO48*AN48</f>
        <v>0</v>
      </c>
      <c r="AQ48" s="1"/>
      <c r="AR48" s="23"/>
      <c r="AS48" s="25"/>
    </row>
    <row r="49" spans="1:46" s="17" customFormat="1" ht="16" customHeight="1" x14ac:dyDescent="0.3">
      <c r="B49" s="16">
        <v>3</v>
      </c>
      <c r="C49" s="46"/>
      <c r="D49" s="47"/>
      <c r="E49" s="47"/>
      <c r="F49" s="47"/>
      <c r="G49" s="48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57"/>
      <c r="T49" s="57"/>
      <c r="U49" s="57"/>
      <c r="V49" s="57"/>
      <c r="W49" s="57"/>
      <c r="X49" s="57"/>
      <c r="Y49" s="58"/>
      <c r="Z49" s="78"/>
      <c r="AA49" s="78"/>
      <c r="AB49" s="78"/>
      <c r="AC49" s="78"/>
      <c r="AD49" s="57"/>
      <c r="AE49" s="57"/>
      <c r="AF49" s="57"/>
      <c r="AG49" s="57"/>
      <c r="AH49" s="58"/>
      <c r="AK49" s="1"/>
      <c r="AL49" s="12"/>
      <c r="AM49" s="12"/>
      <c r="AN49" s="18"/>
      <c r="AO49" s="13"/>
      <c r="AP49" s="19">
        <f t="shared" si="3"/>
        <v>0</v>
      </c>
      <c r="AQ49" s="1"/>
      <c r="AR49" s="23"/>
      <c r="AS49" s="25"/>
    </row>
    <row r="50" spans="1:46" s="17" customFormat="1" ht="16" customHeight="1" x14ac:dyDescent="0.3">
      <c r="B50" s="16">
        <v>4</v>
      </c>
      <c r="C50" s="46"/>
      <c r="D50" s="47"/>
      <c r="E50" s="47"/>
      <c r="F50" s="47"/>
      <c r="G50" s="48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57"/>
      <c r="T50" s="57"/>
      <c r="U50" s="57"/>
      <c r="V50" s="57"/>
      <c r="W50" s="57"/>
      <c r="X50" s="57"/>
      <c r="Y50" s="58"/>
      <c r="Z50" s="75"/>
      <c r="AA50" s="75"/>
      <c r="AB50" s="75"/>
      <c r="AC50" s="75"/>
      <c r="AD50" s="76"/>
      <c r="AE50" s="76"/>
      <c r="AF50" s="76"/>
      <c r="AG50" s="76"/>
      <c r="AH50" s="77"/>
      <c r="AK50" s="1"/>
      <c r="AL50" s="12"/>
      <c r="AM50" s="12"/>
      <c r="AN50" s="18"/>
      <c r="AO50" s="13"/>
      <c r="AP50" s="19">
        <f t="shared" si="3"/>
        <v>0</v>
      </c>
      <c r="AQ50" s="1"/>
      <c r="AR50" s="23"/>
      <c r="AS50" s="25"/>
    </row>
    <row r="51" spans="1:46" s="17" customFormat="1" ht="16" customHeight="1" x14ac:dyDescent="0.3">
      <c r="B51" s="16">
        <v>5</v>
      </c>
      <c r="C51" s="46"/>
      <c r="D51" s="47"/>
      <c r="E51" s="47"/>
      <c r="F51" s="47"/>
      <c r="G51" s="48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57"/>
      <c r="T51" s="57"/>
      <c r="U51" s="57"/>
      <c r="V51" s="57"/>
      <c r="W51" s="57"/>
      <c r="X51" s="57"/>
      <c r="Y51" s="58"/>
      <c r="Z51" s="75"/>
      <c r="AA51" s="75"/>
      <c r="AB51" s="75"/>
      <c r="AC51" s="75"/>
      <c r="AD51" s="76"/>
      <c r="AE51" s="76"/>
      <c r="AF51" s="76"/>
      <c r="AG51" s="76"/>
      <c r="AH51" s="77"/>
      <c r="AK51" s="1"/>
      <c r="AL51" s="12"/>
      <c r="AM51" s="12"/>
      <c r="AN51" s="18"/>
      <c r="AO51" s="13"/>
      <c r="AP51" s="19">
        <f t="shared" si="3"/>
        <v>0</v>
      </c>
      <c r="AQ51" s="1"/>
      <c r="AR51" s="23"/>
      <c r="AS51" s="25"/>
    </row>
    <row r="52" spans="1:46" s="17" customFormat="1" ht="16" customHeight="1" x14ac:dyDescent="0.3">
      <c r="B52" s="16">
        <v>6</v>
      </c>
      <c r="C52" s="46"/>
      <c r="D52" s="47"/>
      <c r="E52" s="47"/>
      <c r="F52" s="47"/>
      <c r="G52" s="48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57"/>
      <c r="T52" s="57"/>
      <c r="U52" s="57"/>
      <c r="V52" s="57"/>
      <c r="W52" s="57"/>
      <c r="X52" s="57"/>
      <c r="Y52" s="58"/>
      <c r="Z52" s="75"/>
      <c r="AA52" s="75"/>
      <c r="AB52" s="75"/>
      <c r="AC52" s="75"/>
      <c r="AD52" s="71"/>
      <c r="AE52" s="72"/>
      <c r="AF52" s="72"/>
      <c r="AG52" s="72"/>
      <c r="AH52" s="73"/>
      <c r="AK52" s="1"/>
      <c r="AL52" s="12"/>
      <c r="AM52" s="12"/>
      <c r="AN52" s="18"/>
      <c r="AO52" s="13"/>
      <c r="AP52" s="19">
        <f t="shared" si="3"/>
        <v>0</v>
      </c>
      <c r="AQ52" s="1"/>
      <c r="AR52" s="23"/>
      <c r="AS52" s="25"/>
    </row>
    <row r="53" spans="1:46" s="17" customFormat="1" ht="16" customHeight="1" x14ac:dyDescent="0.3">
      <c r="B53" s="16">
        <v>7</v>
      </c>
      <c r="C53" s="46"/>
      <c r="D53" s="47"/>
      <c r="E53" s="47"/>
      <c r="F53" s="47"/>
      <c r="G53" s="48"/>
      <c r="H53" s="49"/>
      <c r="I53" s="50"/>
      <c r="J53" s="50"/>
      <c r="K53" s="50"/>
      <c r="L53" s="50"/>
      <c r="M53" s="50"/>
      <c r="N53" s="50"/>
      <c r="O53" s="50"/>
      <c r="P53" s="50"/>
      <c r="Q53" s="50"/>
      <c r="R53" s="51"/>
      <c r="S53" s="57"/>
      <c r="T53" s="57"/>
      <c r="U53" s="57"/>
      <c r="V53" s="57"/>
      <c r="W53" s="57"/>
      <c r="X53" s="57"/>
      <c r="Y53" s="58"/>
      <c r="Z53" s="59"/>
      <c r="AA53" s="60"/>
      <c r="AB53" s="60"/>
      <c r="AC53" s="60"/>
      <c r="AD53" s="71"/>
      <c r="AE53" s="72"/>
      <c r="AF53" s="72"/>
      <c r="AG53" s="72"/>
      <c r="AH53" s="73"/>
      <c r="AK53" s="1"/>
      <c r="AL53" s="12"/>
      <c r="AM53" s="12"/>
      <c r="AN53" s="18"/>
      <c r="AO53" s="13"/>
      <c r="AP53" s="19">
        <f t="shared" si="3"/>
        <v>0</v>
      </c>
      <c r="AQ53" s="1"/>
      <c r="AR53" s="23"/>
      <c r="AS53" s="24"/>
    </row>
    <row r="54" spans="1:46" s="17" customFormat="1" ht="16" customHeight="1" x14ac:dyDescent="0.3">
      <c r="A54" s="17">
        <v>15</v>
      </c>
      <c r="B54" s="16">
        <v>8</v>
      </c>
      <c r="C54" s="46"/>
      <c r="D54" s="47"/>
      <c r="E54" s="47"/>
      <c r="F54" s="47"/>
      <c r="G54" s="48"/>
      <c r="H54" s="49"/>
      <c r="I54" s="50"/>
      <c r="J54" s="50"/>
      <c r="K54" s="50"/>
      <c r="L54" s="50"/>
      <c r="M54" s="50"/>
      <c r="N54" s="50"/>
      <c r="O54" s="50"/>
      <c r="P54" s="50"/>
      <c r="Q54" s="50"/>
      <c r="R54" s="51"/>
      <c r="S54" s="57"/>
      <c r="T54" s="57"/>
      <c r="U54" s="57"/>
      <c r="V54" s="57"/>
      <c r="W54" s="57"/>
      <c r="X54" s="57"/>
      <c r="Y54" s="58"/>
      <c r="Z54" s="59"/>
      <c r="AA54" s="60"/>
      <c r="AB54" s="60"/>
      <c r="AC54" s="60"/>
      <c r="AD54" s="60"/>
      <c r="AE54" s="60"/>
      <c r="AF54" s="60"/>
      <c r="AG54" s="60"/>
      <c r="AH54" s="61"/>
      <c r="AK54" s="1"/>
      <c r="AL54" s="12"/>
      <c r="AM54" s="12"/>
      <c r="AN54" s="18"/>
      <c r="AO54" s="13"/>
      <c r="AP54" s="19">
        <f t="shared" si="3"/>
        <v>0</v>
      </c>
      <c r="AQ54" s="1"/>
      <c r="AR54" s="23"/>
      <c r="AS54" s="24"/>
    </row>
    <row r="55" spans="1:46" s="17" customFormat="1" ht="16" customHeight="1" x14ac:dyDescent="0.3">
      <c r="B55" s="16">
        <v>9</v>
      </c>
      <c r="C55" s="46"/>
      <c r="D55" s="47"/>
      <c r="E55" s="47"/>
      <c r="F55" s="47"/>
      <c r="G55" s="48"/>
      <c r="H55" s="49"/>
      <c r="I55" s="50"/>
      <c r="J55" s="50"/>
      <c r="K55" s="50"/>
      <c r="L55" s="50"/>
      <c r="M55" s="50"/>
      <c r="N55" s="50"/>
      <c r="O55" s="50"/>
      <c r="P55" s="50"/>
      <c r="Q55" s="50"/>
      <c r="R55" s="51"/>
      <c r="S55" s="57"/>
      <c r="T55" s="57"/>
      <c r="U55" s="57"/>
      <c r="V55" s="57"/>
      <c r="W55" s="57"/>
      <c r="X55" s="57"/>
      <c r="Y55" s="58"/>
      <c r="Z55" s="59"/>
      <c r="AA55" s="60"/>
      <c r="AB55" s="60"/>
      <c r="AC55" s="60"/>
      <c r="AD55" s="70"/>
      <c r="AE55" s="60"/>
      <c r="AF55" s="60"/>
      <c r="AG55" s="60"/>
      <c r="AH55" s="61"/>
      <c r="AK55" s="1"/>
      <c r="AL55" s="12"/>
      <c r="AM55" s="12"/>
      <c r="AN55" s="18"/>
      <c r="AO55" s="13"/>
      <c r="AP55" s="19">
        <f t="shared" si="3"/>
        <v>0</v>
      </c>
      <c r="AQ55" s="1"/>
      <c r="AR55" s="23"/>
      <c r="AS55" s="24"/>
    </row>
    <row r="56" spans="1:46" s="17" customFormat="1" ht="16" customHeight="1" x14ac:dyDescent="0.3">
      <c r="B56" s="16">
        <v>10</v>
      </c>
      <c r="C56" s="46"/>
      <c r="D56" s="47"/>
      <c r="E56" s="47"/>
      <c r="F56" s="47"/>
      <c r="G56" s="48"/>
      <c r="H56" s="49"/>
      <c r="I56" s="50"/>
      <c r="J56" s="50"/>
      <c r="K56" s="50"/>
      <c r="L56" s="50"/>
      <c r="M56" s="50"/>
      <c r="N56" s="50"/>
      <c r="O56" s="50"/>
      <c r="P56" s="50"/>
      <c r="Q56" s="50"/>
      <c r="R56" s="51"/>
      <c r="S56" s="57"/>
      <c r="T56" s="57"/>
      <c r="U56" s="57"/>
      <c r="V56" s="57"/>
      <c r="W56" s="57"/>
      <c r="X56" s="57"/>
      <c r="Y56" s="58"/>
      <c r="Z56" s="65"/>
      <c r="AA56" s="60"/>
      <c r="AB56" s="60"/>
      <c r="AC56" s="60"/>
      <c r="AD56" s="57"/>
      <c r="AE56" s="57"/>
      <c r="AF56" s="57"/>
      <c r="AG56" s="57"/>
      <c r="AH56" s="58"/>
      <c r="AK56" s="1"/>
      <c r="AL56" s="12"/>
      <c r="AM56" s="12"/>
      <c r="AN56" s="18"/>
      <c r="AO56" s="13"/>
      <c r="AP56" s="19">
        <f t="shared" si="3"/>
        <v>0</v>
      </c>
      <c r="AQ56" s="1"/>
      <c r="AR56" s="23"/>
      <c r="AS56" s="24"/>
    </row>
    <row r="57" spans="1:46" s="17" customFormat="1" ht="16" customHeight="1" x14ac:dyDescent="0.3">
      <c r="B57" s="16">
        <v>11</v>
      </c>
      <c r="C57" s="46"/>
      <c r="D57" s="47"/>
      <c r="E57" s="47"/>
      <c r="F57" s="47"/>
      <c r="G57" s="48"/>
      <c r="H57" s="49"/>
      <c r="I57" s="50"/>
      <c r="J57" s="50"/>
      <c r="K57" s="50"/>
      <c r="L57" s="50"/>
      <c r="M57" s="50"/>
      <c r="N57" s="50"/>
      <c r="O57" s="50"/>
      <c r="P57" s="50"/>
      <c r="Q57" s="50"/>
      <c r="R57" s="51"/>
      <c r="S57" s="57"/>
      <c r="T57" s="57"/>
      <c r="U57" s="57"/>
      <c r="V57" s="57"/>
      <c r="W57" s="57"/>
      <c r="X57" s="57"/>
      <c r="Y57" s="58"/>
      <c r="Z57" s="59"/>
      <c r="AA57" s="60"/>
      <c r="AB57" s="60"/>
      <c r="AC57" s="60"/>
      <c r="AD57" s="57"/>
      <c r="AE57" s="57"/>
      <c r="AF57" s="57"/>
      <c r="AG57" s="57"/>
      <c r="AH57" s="58"/>
      <c r="AK57" s="1"/>
      <c r="AL57" s="12"/>
      <c r="AM57" s="12"/>
      <c r="AN57" s="18"/>
      <c r="AO57" s="13"/>
      <c r="AP57" s="19">
        <f t="shared" si="3"/>
        <v>0</v>
      </c>
      <c r="AQ57" s="1"/>
      <c r="AR57" s="23"/>
      <c r="AS57" s="24"/>
    </row>
    <row r="58" spans="1:46" s="17" customFormat="1" ht="16" customHeight="1" x14ac:dyDescent="0.3">
      <c r="B58" s="16">
        <v>12</v>
      </c>
      <c r="C58" s="46"/>
      <c r="D58" s="47"/>
      <c r="E58" s="47"/>
      <c r="F58" s="47"/>
      <c r="G58" s="48"/>
      <c r="H58" s="49"/>
      <c r="I58" s="50"/>
      <c r="J58" s="50"/>
      <c r="K58" s="50"/>
      <c r="L58" s="50"/>
      <c r="M58" s="50"/>
      <c r="N58" s="50"/>
      <c r="O58" s="50"/>
      <c r="P58" s="50"/>
      <c r="Q58" s="50"/>
      <c r="R58" s="51"/>
      <c r="S58" s="57"/>
      <c r="T58" s="57"/>
      <c r="U58" s="57"/>
      <c r="V58" s="57"/>
      <c r="W58" s="57"/>
      <c r="X58" s="57"/>
      <c r="Y58" s="58"/>
      <c r="Z58" s="68"/>
      <c r="AA58" s="69"/>
      <c r="AB58" s="69"/>
      <c r="AC58" s="69"/>
      <c r="AD58" s="66"/>
      <c r="AE58" s="66"/>
      <c r="AF58" s="66"/>
      <c r="AG58" s="66"/>
      <c r="AH58" s="67"/>
      <c r="AK58" s="1"/>
      <c r="AL58" s="12"/>
      <c r="AM58" s="12"/>
      <c r="AN58" s="18"/>
      <c r="AO58" s="13"/>
      <c r="AP58" s="19">
        <f t="shared" si="3"/>
        <v>0</v>
      </c>
      <c r="AQ58" s="1"/>
      <c r="AR58" s="23"/>
      <c r="AS58" s="24"/>
    </row>
    <row r="59" spans="1:46" s="17" customFormat="1" ht="16" customHeight="1" x14ac:dyDescent="0.3">
      <c r="B59" s="16">
        <v>13</v>
      </c>
      <c r="C59" s="46"/>
      <c r="D59" s="47"/>
      <c r="E59" s="47"/>
      <c r="F59" s="47"/>
      <c r="G59" s="48"/>
      <c r="H59" s="49"/>
      <c r="I59" s="50"/>
      <c r="J59" s="50"/>
      <c r="K59" s="50"/>
      <c r="L59" s="50"/>
      <c r="M59" s="50"/>
      <c r="N59" s="50"/>
      <c r="O59" s="50"/>
      <c r="P59" s="50"/>
      <c r="Q59" s="50"/>
      <c r="R59" s="51"/>
      <c r="S59" s="57"/>
      <c r="T59" s="57"/>
      <c r="U59" s="57"/>
      <c r="V59" s="57"/>
      <c r="W59" s="57"/>
      <c r="X59" s="57"/>
      <c r="Y59" s="58"/>
      <c r="Z59" s="65"/>
      <c r="AA59" s="60"/>
      <c r="AB59" s="60"/>
      <c r="AC59" s="60"/>
      <c r="AD59" s="66"/>
      <c r="AE59" s="66"/>
      <c r="AF59" s="66"/>
      <c r="AG59" s="66"/>
      <c r="AH59" s="67"/>
      <c r="AK59" s="1"/>
      <c r="AL59" s="12"/>
      <c r="AM59" s="12"/>
      <c r="AN59" s="18"/>
      <c r="AO59" s="13"/>
      <c r="AP59" s="19"/>
      <c r="AQ59" s="1"/>
      <c r="AR59" s="23"/>
      <c r="AS59" s="25"/>
    </row>
    <row r="60" spans="1:46" s="17" customFormat="1" ht="16" customHeight="1" x14ac:dyDescent="0.3">
      <c r="B60" s="16">
        <v>14</v>
      </c>
      <c r="C60" s="46"/>
      <c r="D60" s="47"/>
      <c r="E60" s="47"/>
      <c r="F60" s="47"/>
      <c r="G60" s="48"/>
      <c r="H60" s="49"/>
      <c r="I60" s="50"/>
      <c r="J60" s="50"/>
      <c r="K60" s="50"/>
      <c r="L60" s="50"/>
      <c r="M60" s="50"/>
      <c r="N60" s="50"/>
      <c r="O60" s="50"/>
      <c r="P60" s="50"/>
      <c r="Q60" s="50"/>
      <c r="R60" s="51"/>
      <c r="S60" s="57" t="str">
        <f>IFERROR(ROUNDUP(#REF!*#REF!/#REF!,#REF!)-AR60,"")</f>
        <v/>
      </c>
      <c r="T60" s="57"/>
      <c r="U60" s="57"/>
      <c r="V60" s="57"/>
      <c r="W60" s="57"/>
      <c r="X60" s="57"/>
      <c r="Y60" s="58"/>
      <c r="Z60" s="62"/>
      <c r="AA60" s="63"/>
      <c r="AB60" s="63"/>
      <c r="AC60" s="64"/>
      <c r="AD60" s="60"/>
      <c r="AE60" s="60"/>
      <c r="AF60" s="60"/>
      <c r="AG60" s="60"/>
      <c r="AH60" s="61"/>
      <c r="AK60" s="1"/>
      <c r="AL60" s="12"/>
      <c r="AM60" s="12"/>
      <c r="AN60" s="18"/>
      <c r="AO60" s="13"/>
      <c r="AP60" s="19"/>
      <c r="AQ60" s="1"/>
      <c r="AR60" s="23"/>
      <c r="AS60" s="25"/>
    </row>
    <row r="61" spans="1:46" s="17" customFormat="1" ht="16" customHeight="1" x14ac:dyDescent="0.3">
      <c r="B61" s="16">
        <v>15</v>
      </c>
      <c r="C61" s="46"/>
      <c r="D61" s="47"/>
      <c r="E61" s="47"/>
      <c r="F61" s="47"/>
      <c r="G61" s="48"/>
      <c r="H61" s="49"/>
      <c r="I61" s="50"/>
      <c r="J61" s="50"/>
      <c r="K61" s="50"/>
      <c r="L61" s="50"/>
      <c r="M61" s="50"/>
      <c r="N61" s="50"/>
      <c r="O61" s="50"/>
      <c r="P61" s="50"/>
      <c r="Q61" s="50"/>
      <c r="R61" s="51"/>
      <c r="S61" s="57"/>
      <c r="T61" s="57"/>
      <c r="U61" s="57"/>
      <c r="V61" s="57"/>
      <c r="W61" s="57"/>
      <c r="X61" s="57"/>
      <c r="Y61" s="58"/>
      <c r="Z61" s="59"/>
      <c r="AA61" s="60"/>
      <c r="AB61" s="60"/>
      <c r="AC61" s="60"/>
      <c r="AD61" s="60"/>
      <c r="AE61" s="60"/>
      <c r="AF61" s="60"/>
      <c r="AG61" s="60"/>
      <c r="AH61" s="61"/>
      <c r="AK61" s="1"/>
      <c r="AL61" s="12"/>
      <c r="AM61" s="12"/>
      <c r="AN61" s="18"/>
      <c r="AO61" s="13"/>
      <c r="AP61" s="19"/>
      <c r="AQ61" s="1"/>
      <c r="AR61" s="23"/>
      <c r="AS61" s="25"/>
    </row>
    <row r="62" spans="1:46" s="17" customFormat="1" ht="16" customHeight="1" thickBot="1" x14ac:dyDescent="0.35">
      <c r="B62" s="26"/>
      <c r="C62" s="46"/>
      <c r="D62" s="47"/>
      <c r="E62" s="47"/>
      <c r="F62" s="47"/>
      <c r="G62" s="48"/>
      <c r="H62" s="49"/>
      <c r="I62" s="50"/>
      <c r="J62" s="50"/>
      <c r="K62" s="50"/>
      <c r="L62" s="50"/>
      <c r="M62" s="50"/>
      <c r="N62" s="50"/>
      <c r="O62" s="50"/>
      <c r="P62" s="50"/>
      <c r="Q62" s="50"/>
      <c r="R62" s="51"/>
      <c r="S62" s="52"/>
      <c r="T62" s="52"/>
      <c r="U62" s="52"/>
      <c r="V62" s="52"/>
      <c r="W62" s="52"/>
      <c r="X62" s="52"/>
      <c r="Y62" s="53"/>
      <c r="Z62" s="54"/>
      <c r="AA62" s="55"/>
      <c r="AB62" s="55"/>
      <c r="AC62" s="55"/>
      <c r="AD62" s="55"/>
      <c r="AE62" s="55"/>
      <c r="AF62" s="55"/>
      <c r="AG62" s="55"/>
      <c r="AH62" s="56"/>
      <c r="AK62" s="1"/>
      <c r="AL62" s="12" t="s">
        <v>47</v>
      </c>
      <c r="AM62" s="12"/>
      <c r="AN62" s="18"/>
      <c r="AO62" s="19">
        <f>SUM(AO47:AO61)</f>
        <v>0</v>
      </c>
      <c r="AP62" s="19">
        <f>SUM(AP47:AP61)</f>
        <v>0</v>
      </c>
      <c r="AQ62" s="1"/>
      <c r="AR62" s="27"/>
      <c r="AS62" s="28"/>
    </row>
    <row r="63" spans="1:46" s="17" customFormat="1" ht="15" customHeight="1" thickTop="1" thickBot="1" x14ac:dyDescent="0.35">
      <c r="B63" s="39" t="s">
        <v>23</v>
      </c>
      <c r="C63" s="40"/>
      <c r="D63" s="40"/>
      <c r="E63" s="40"/>
      <c r="F63" s="40"/>
      <c r="G63" s="41"/>
      <c r="H63" s="42" t="s">
        <v>48</v>
      </c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4"/>
      <c r="AK63" s="1"/>
      <c r="AL63" s="1"/>
      <c r="AM63" s="1"/>
      <c r="AN63" s="29"/>
      <c r="AO63" s="30"/>
      <c r="AP63" s="30"/>
      <c r="AQ63" s="30"/>
      <c r="AR63" s="30"/>
      <c r="AS63" s="30"/>
      <c r="AT63" s="30"/>
    </row>
    <row r="64" spans="1:46" ht="13.5" thickTop="1" x14ac:dyDescent="0.3">
      <c r="W64" s="45" t="s">
        <v>49</v>
      </c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</row>
  </sheetData>
  <protectedRanges>
    <protectedRange sqref="C12:AH26" name="Range1"/>
    <protectedRange sqref="C47:AH61" name="Range2"/>
    <protectedRange sqref="P7:P8 H7:H8 H42:H43 P42:P43" name="Range3"/>
  </protectedRanges>
  <mergeCells count="262">
    <mergeCell ref="W2:Y2"/>
    <mergeCell ref="Z2:AB2"/>
    <mergeCell ref="AC2:AE2"/>
    <mergeCell ref="AF2:AH2"/>
    <mergeCell ref="W3:Y4"/>
    <mergeCell ref="Z3:AB7"/>
    <mergeCell ref="AC3:AE7"/>
    <mergeCell ref="AF3:AH7"/>
    <mergeCell ref="B4:E4"/>
    <mergeCell ref="F4:K4"/>
    <mergeCell ref="L4:N4"/>
    <mergeCell ref="O4:V4"/>
    <mergeCell ref="B5:D5"/>
    <mergeCell ref="E5:K5"/>
    <mergeCell ref="L5:N5"/>
    <mergeCell ref="O5:V5"/>
    <mergeCell ref="B2:F3"/>
    <mergeCell ref="G2:V3"/>
    <mergeCell ref="B10:Y10"/>
    <mergeCell ref="Z10:AH10"/>
    <mergeCell ref="C11:G11"/>
    <mergeCell ref="H11:R11"/>
    <mergeCell ref="S11:V11"/>
    <mergeCell ref="W11:Y11"/>
    <mergeCell ref="Z11:AC11"/>
    <mergeCell ref="AD11:AH11"/>
    <mergeCell ref="W5:Y7"/>
    <mergeCell ref="B6:E9"/>
    <mergeCell ref="W8:Y9"/>
    <mergeCell ref="Z8:AB9"/>
    <mergeCell ref="AC8:AE9"/>
    <mergeCell ref="AF8:AH9"/>
    <mergeCell ref="C13:G13"/>
    <mergeCell ref="H13:R13"/>
    <mergeCell ref="S13:V13"/>
    <mergeCell ref="W13:Y13"/>
    <mergeCell ref="Z13:AC13"/>
    <mergeCell ref="AD13:AH13"/>
    <mergeCell ref="C12:G12"/>
    <mergeCell ref="H12:R12"/>
    <mergeCell ref="S12:V12"/>
    <mergeCell ref="W12:Y12"/>
    <mergeCell ref="Z12:AC12"/>
    <mergeCell ref="AD12:AH12"/>
    <mergeCell ref="C15:G15"/>
    <mergeCell ref="H15:R15"/>
    <mergeCell ref="S15:V15"/>
    <mergeCell ref="W15:Y15"/>
    <mergeCell ref="Z15:AC15"/>
    <mergeCell ref="AD15:AH15"/>
    <mergeCell ref="C14:G14"/>
    <mergeCell ref="H14:R14"/>
    <mergeCell ref="S14:V14"/>
    <mergeCell ref="W14:Y14"/>
    <mergeCell ref="Z14:AC14"/>
    <mergeCell ref="AD14:AH14"/>
    <mergeCell ref="C17:G17"/>
    <mergeCell ref="H17:R17"/>
    <mergeCell ref="S17:V17"/>
    <mergeCell ref="W17:Y17"/>
    <mergeCell ref="Z17:AC17"/>
    <mergeCell ref="AD17:AH17"/>
    <mergeCell ref="C16:G16"/>
    <mergeCell ref="H16:R16"/>
    <mergeCell ref="S16:V16"/>
    <mergeCell ref="W16:Y16"/>
    <mergeCell ref="Z16:AC16"/>
    <mergeCell ref="AD16:AH16"/>
    <mergeCell ref="C19:G19"/>
    <mergeCell ref="H19:R19"/>
    <mergeCell ref="S19:V19"/>
    <mergeCell ref="W19:Y19"/>
    <mergeCell ref="Z19:AC19"/>
    <mergeCell ref="AD19:AH19"/>
    <mergeCell ref="C18:G18"/>
    <mergeCell ref="H18:R18"/>
    <mergeCell ref="S18:V18"/>
    <mergeCell ref="W18:Y18"/>
    <mergeCell ref="Z18:AC18"/>
    <mergeCell ref="AD18:AH18"/>
    <mergeCell ref="C21:G21"/>
    <mergeCell ref="H21:R21"/>
    <mergeCell ref="S21:V21"/>
    <mergeCell ref="W21:Y21"/>
    <mergeCell ref="Z21:AC21"/>
    <mergeCell ref="AD21:AH21"/>
    <mergeCell ref="C20:G20"/>
    <mergeCell ref="H20:R20"/>
    <mergeCell ref="S20:V20"/>
    <mergeCell ref="W20:Y20"/>
    <mergeCell ref="Z20:AC20"/>
    <mergeCell ref="AD20:AH20"/>
    <mergeCell ref="C23:G23"/>
    <mergeCell ref="H23:R23"/>
    <mergeCell ref="S23:V23"/>
    <mergeCell ref="W23:Y23"/>
    <mergeCell ref="Z23:AC23"/>
    <mergeCell ref="AD23:AH23"/>
    <mergeCell ref="C22:G22"/>
    <mergeCell ref="H22:R22"/>
    <mergeCell ref="S22:V22"/>
    <mergeCell ref="W22:Y22"/>
    <mergeCell ref="Z22:AC22"/>
    <mergeCell ref="AD22:AH22"/>
    <mergeCell ref="C25:G25"/>
    <mergeCell ref="H25:R25"/>
    <mergeCell ref="S25:V25"/>
    <mergeCell ref="W25:Y25"/>
    <mergeCell ref="Z25:AC25"/>
    <mergeCell ref="AD25:AH25"/>
    <mergeCell ref="C24:G24"/>
    <mergeCell ref="H24:R24"/>
    <mergeCell ref="S24:V24"/>
    <mergeCell ref="W24:Y24"/>
    <mergeCell ref="Z24:AC24"/>
    <mergeCell ref="AD24:AH24"/>
    <mergeCell ref="C27:G27"/>
    <mergeCell ref="H27:R27"/>
    <mergeCell ref="S27:V27"/>
    <mergeCell ref="W27:Y27"/>
    <mergeCell ref="Z27:AC27"/>
    <mergeCell ref="AD27:AH27"/>
    <mergeCell ref="C26:G26"/>
    <mergeCell ref="H26:R26"/>
    <mergeCell ref="S26:V26"/>
    <mergeCell ref="W26:Y26"/>
    <mergeCell ref="Z26:AC26"/>
    <mergeCell ref="AD26:AH26"/>
    <mergeCell ref="B28:G28"/>
    <mergeCell ref="H28:AH28"/>
    <mergeCell ref="W29:AH29"/>
    <mergeCell ref="B37:F38"/>
    <mergeCell ref="G37:V38"/>
    <mergeCell ref="W37:Y37"/>
    <mergeCell ref="Z37:AB37"/>
    <mergeCell ref="AC37:AE37"/>
    <mergeCell ref="AF37:AH37"/>
    <mergeCell ref="W38:Y39"/>
    <mergeCell ref="O40:V40"/>
    <mergeCell ref="W40:Y42"/>
    <mergeCell ref="B41:E44"/>
    <mergeCell ref="W43:Y44"/>
    <mergeCell ref="Z43:AB44"/>
    <mergeCell ref="AC43:AE44"/>
    <mergeCell ref="Z38:AB42"/>
    <mergeCell ref="AC38:AE42"/>
    <mergeCell ref="AF38:AH42"/>
    <mergeCell ref="B39:E39"/>
    <mergeCell ref="F39:K39"/>
    <mergeCell ref="L39:N39"/>
    <mergeCell ref="O39:V39"/>
    <mergeCell ref="B40:D40"/>
    <mergeCell ref="E40:K40"/>
    <mergeCell ref="L40:N40"/>
    <mergeCell ref="C47:G47"/>
    <mergeCell ref="H47:R47"/>
    <mergeCell ref="S47:V47"/>
    <mergeCell ref="W47:Y47"/>
    <mergeCell ref="Z47:AC47"/>
    <mergeCell ref="AD47:AH47"/>
    <mergeCell ref="AF43:AH44"/>
    <mergeCell ref="B45:Y45"/>
    <mergeCell ref="Z45:AH45"/>
    <mergeCell ref="C46:G46"/>
    <mergeCell ref="H46:R46"/>
    <mergeCell ref="S46:V46"/>
    <mergeCell ref="W46:Y46"/>
    <mergeCell ref="Z46:AC46"/>
    <mergeCell ref="AD46:AH46"/>
    <mergeCell ref="C49:G49"/>
    <mergeCell ref="H49:R49"/>
    <mergeCell ref="S49:V49"/>
    <mergeCell ref="W49:Y49"/>
    <mergeCell ref="Z49:AC49"/>
    <mergeCell ref="AD49:AH49"/>
    <mergeCell ref="C48:G48"/>
    <mergeCell ref="H48:R48"/>
    <mergeCell ref="S48:V48"/>
    <mergeCell ref="W48:Y48"/>
    <mergeCell ref="Z48:AC48"/>
    <mergeCell ref="AD48:AH48"/>
    <mergeCell ref="C51:G51"/>
    <mergeCell ref="H51:R51"/>
    <mergeCell ref="S51:V51"/>
    <mergeCell ref="W51:Y51"/>
    <mergeCell ref="Z51:AC51"/>
    <mergeCell ref="AD51:AH51"/>
    <mergeCell ref="C50:G50"/>
    <mergeCell ref="H50:R50"/>
    <mergeCell ref="S50:V50"/>
    <mergeCell ref="W50:Y50"/>
    <mergeCell ref="Z50:AC50"/>
    <mergeCell ref="AD50:AH50"/>
    <mergeCell ref="C53:G53"/>
    <mergeCell ref="H53:R53"/>
    <mergeCell ref="S53:V53"/>
    <mergeCell ref="W53:Y53"/>
    <mergeCell ref="Z53:AC53"/>
    <mergeCell ref="AD53:AH53"/>
    <mergeCell ref="C52:G52"/>
    <mergeCell ref="H52:R52"/>
    <mergeCell ref="S52:V52"/>
    <mergeCell ref="W52:Y52"/>
    <mergeCell ref="Z52:AC52"/>
    <mergeCell ref="AD52:AH52"/>
    <mergeCell ref="C55:G55"/>
    <mergeCell ref="H55:R55"/>
    <mergeCell ref="S55:V55"/>
    <mergeCell ref="W55:Y55"/>
    <mergeCell ref="Z55:AC55"/>
    <mergeCell ref="AD55:AH55"/>
    <mergeCell ref="C54:G54"/>
    <mergeCell ref="H54:R54"/>
    <mergeCell ref="S54:V54"/>
    <mergeCell ref="W54:Y54"/>
    <mergeCell ref="Z54:AC54"/>
    <mergeCell ref="AD54:AH54"/>
    <mergeCell ref="C57:G57"/>
    <mergeCell ref="H57:R57"/>
    <mergeCell ref="S57:V57"/>
    <mergeCell ref="W57:Y57"/>
    <mergeCell ref="Z57:AC57"/>
    <mergeCell ref="AD57:AH57"/>
    <mergeCell ref="C56:G56"/>
    <mergeCell ref="H56:R56"/>
    <mergeCell ref="S56:V56"/>
    <mergeCell ref="W56:Y56"/>
    <mergeCell ref="Z56:AC56"/>
    <mergeCell ref="AD56:AH56"/>
    <mergeCell ref="C59:G59"/>
    <mergeCell ref="H59:R59"/>
    <mergeCell ref="S59:V59"/>
    <mergeCell ref="W59:Y59"/>
    <mergeCell ref="Z59:AC59"/>
    <mergeCell ref="AD59:AH59"/>
    <mergeCell ref="C58:G58"/>
    <mergeCell ref="H58:R58"/>
    <mergeCell ref="S58:V58"/>
    <mergeCell ref="W58:Y58"/>
    <mergeCell ref="Z58:AC58"/>
    <mergeCell ref="AD58:AH58"/>
    <mergeCell ref="C61:G61"/>
    <mergeCell ref="H61:R61"/>
    <mergeCell ref="S61:V61"/>
    <mergeCell ref="W61:Y61"/>
    <mergeCell ref="Z61:AC61"/>
    <mergeCell ref="AD61:AH61"/>
    <mergeCell ref="C60:G60"/>
    <mergeCell ref="H60:R60"/>
    <mergeCell ref="S60:V60"/>
    <mergeCell ref="W60:Y60"/>
    <mergeCell ref="Z60:AC60"/>
    <mergeCell ref="AD60:AH60"/>
    <mergeCell ref="B63:G63"/>
    <mergeCell ref="H63:AH63"/>
    <mergeCell ref="W64:AH64"/>
    <mergeCell ref="C62:G62"/>
    <mergeCell ref="H62:R62"/>
    <mergeCell ref="S62:V62"/>
    <mergeCell ref="W62:Y62"/>
    <mergeCell ref="Z62:AC62"/>
    <mergeCell ref="AD62:AH62"/>
  </mergeCells>
  <dataValidations count="1">
    <dataValidation type="list" allowBlank="1" showInputMessage="1" showErrorMessage="1" sqref="P7:P8 H7:H8 H42:H43 P42:P43" xr:uid="{7C6F8508-5ED7-456E-8DD9-12241652FA95}">
      <formula1>$BZ$2:$BZ$7</formula1>
    </dataValidation>
  </dataValidations>
  <printOptions horizontalCentered="1" verticalCentered="1"/>
  <pageMargins left="0" right="0" top="0" bottom="0" header="0" footer="0"/>
  <pageSetup paperSize="9" scale="95" fitToWidth="0" orientation="portrait" r:id="rId1"/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F137-1819-4301-A393-3F1BD68932CC}">
  <sheetPr>
    <pageSetUpPr fitToPage="1"/>
  </sheetPr>
  <dimension ref="A1:BZ64"/>
  <sheetViews>
    <sheetView tabSelected="1" view="pageBreakPreview" topLeftCell="B2" zoomScale="130" zoomScaleNormal="90" zoomScaleSheetLayoutView="130" workbookViewId="0">
      <selection activeCell="BL14" sqref="BL14"/>
    </sheetView>
  </sheetViews>
  <sheetFormatPr defaultColWidth="3" defaultRowHeight="13" x14ac:dyDescent="0.3"/>
  <cols>
    <col min="1" max="1" width="0.81640625" style="1" hidden="1" customWidth="1"/>
    <col min="2" max="14" width="3" style="1"/>
    <col min="15" max="22" width="3" style="1" customWidth="1"/>
    <col min="23" max="23" width="3.54296875" style="1" customWidth="1"/>
    <col min="24" max="24" width="3.81640625" style="1" customWidth="1"/>
    <col min="25" max="25" width="3.54296875" style="1" customWidth="1"/>
    <col min="26" max="33" width="3" style="1"/>
    <col min="34" max="34" width="3" style="1" customWidth="1"/>
    <col min="35" max="35" width="0.81640625" style="1" customWidth="1"/>
    <col min="36" max="36" width="1.453125" style="1" customWidth="1"/>
    <col min="37" max="37" width="1.54296875" style="1" customWidth="1"/>
    <col min="38" max="38" width="12" style="1" hidden="1" customWidth="1"/>
    <col min="39" max="39" width="13.54296875" style="1" hidden="1" customWidth="1"/>
    <col min="40" max="40" width="12.453125" style="1" hidden="1" customWidth="1"/>
    <col min="41" max="41" width="8.453125" style="1" hidden="1" customWidth="1"/>
    <col min="42" max="42" width="9.1796875" style="1" hidden="1" customWidth="1"/>
    <col min="43" max="43" width="2.54296875" style="1" hidden="1" customWidth="1"/>
    <col min="44" max="44" width="9.54296875" style="2" hidden="1" customWidth="1"/>
    <col min="45" max="45" width="12.54296875" style="2" hidden="1" customWidth="1"/>
    <col min="46" max="55" width="3" style="1" hidden="1" customWidth="1"/>
    <col min="56" max="57" width="3" style="1"/>
    <col min="58" max="60" width="3" style="1" hidden="1" customWidth="1"/>
    <col min="61" max="74" width="3" style="1"/>
    <col min="75" max="75" width="3" style="1" customWidth="1"/>
    <col min="76" max="77" width="3" style="1"/>
    <col min="78" max="78" width="0" style="1" hidden="1" customWidth="1"/>
    <col min="79" max="16384" width="3" style="1"/>
  </cols>
  <sheetData>
    <row r="1" spans="2:78" ht="4" hidden="1" customHeight="1" thickBot="1" x14ac:dyDescent="0.35"/>
    <row r="2" spans="2:78" ht="13" customHeight="1" thickTop="1" x14ac:dyDescent="0.3">
      <c r="B2" s="120"/>
      <c r="C2" s="121"/>
      <c r="D2" s="121"/>
      <c r="E2" s="121"/>
      <c r="F2" s="121"/>
      <c r="G2" s="124" t="s">
        <v>0</v>
      </c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60"/>
      <c r="W2" s="128" t="s">
        <v>1</v>
      </c>
      <c r="X2" s="129"/>
      <c r="Y2" s="129"/>
      <c r="Z2" s="129" t="s">
        <v>2</v>
      </c>
      <c r="AA2" s="129"/>
      <c r="AB2" s="129"/>
      <c r="AC2" s="129" t="s">
        <v>3</v>
      </c>
      <c r="AD2" s="129"/>
      <c r="AE2" s="129"/>
      <c r="AF2" s="130" t="s">
        <v>4</v>
      </c>
      <c r="AG2" s="130"/>
      <c r="AH2" s="131"/>
      <c r="BZ2" s="3"/>
    </row>
    <row r="3" spans="2:78" ht="13" customHeight="1" x14ac:dyDescent="0.3">
      <c r="B3" s="122"/>
      <c r="C3" s="123"/>
      <c r="D3" s="123"/>
      <c r="E3" s="123"/>
      <c r="F3" s="123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61"/>
      <c r="W3" s="153"/>
      <c r="X3" s="154"/>
      <c r="Y3" s="155"/>
      <c r="Z3" s="107"/>
      <c r="AA3" s="107"/>
      <c r="AB3" s="107"/>
      <c r="AC3" s="107"/>
      <c r="AD3" s="107"/>
      <c r="AE3" s="107"/>
      <c r="AF3" s="107"/>
      <c r="AG3" s="107"/>
      <c r="AH3" s="108"/>
      <c r="BZ3" s="3" t="s">
        <v>5</v>
      </c>
    </row>
    <row r="4" spans="2:78" ht="14.15" customHeight="1" x14ac:dyDescent="0.3">
      <c r="B4" s="109" t="s">
        <v>6</v>
      </c>
      <c r="C4" s="110"/>
      <c r="D4" s="110"/>
      <c r="E4" s="110"/>
      <c r="F4" s="111"/>
      <c r="G4" s="111"/>
      <c r="H4" s="111"/>
      <c r="I4" s="111"/>
      <c r="J4" s="111"/>
      <c r="K4" s="112"/>
      <c r="L4" s="113" t="s">
        <v>7</v>
      </c>
      <c r="M4" s="110"/>
      <c r="N4" s="114"/>
      <c r="O4" s="156"/>
      <c r="P4" s="157"/>
      <c r="Q4" s="157"/>
      <c r="R4" s="157"/>
      <c r="S4" s="157"/>
      <c r="T4" s="157"/>
      <c r="U4" s="157"/>
      <c r="V4" s="157"/>
      <c r="W4" s="147"/>
      <c r="X4" s="148"/>
      <c r="Y4" s="149"/>
      <c r="Z4" s="107"/>
      <c r="AA4" s="107"/>
      <c r="AB4" s="107"/>
      <c r="AC4" s="107"/>
      <c r="AD4" s="107"/>
      <c r="AE4" s="107"/>
      <c r="AF4" s="107"/>
      <c r="AG4" s="107"/>
      <c r="AH4" s="108"/>
    </row>
    <row r="5" spans="2:78" ht="14.15" customHeight="1" x14ac:dyDescent="0.3">
      <c r="B5" s="117" t="s">
        <v>8</v>
      </c>
      <c r="C5" s="118"/>
      <c r="D5" s="118"/>
      <c r="E5" s="119" t="s">
        <v>9</v>
      </c>
      <c r="F5" s="119"/>
      <c r="G5" s="119"/>
      <c r="H5" s="119"/>
      <c r="I5" s="119"/>
      <c r="J5" s="119"/>
      <c r="K5" s="119"/>
      <c r="L5" s="118" t="s">
        <v>10</v>
      </c>
      <c r="M5" s="118"/>
      <c r="N5" s="118"/>
      <c r="O5" s="158"/>
      <c r="P5" s="158"/>
      <c r="Q5" s="158"/>
      <c r="R5" s="158"/>
      <c r="S5" s="158"/>
      <c r="T5" s="158"/>
      <c r="U5" s="158"/>
      <c r="V5" s="159"/>
      <c r="W5" s="147"/>
      <c r="X5" s="148"/>
      <c r="Y5" s="149"/>
      <c r="Z5" s="107"/>
      <c r="AA5" s="107"/>
      <c r="AB5" s="107"/>
      <c r="AC5" s="107"/>
      <c r="AD5" s="107"/>
      <c r="AE5" s="107"/>
      <c r="AF5" s="107"/>
      <c r="AG5" s="107"/>
      <c r="AH5" s="108"/>
    </row>
    <row r="6" spans="2:78" ht="5.15" customHeight="1" x14ac:dyDescent="0.3">
      <c r="B6" s="99"/>
      <c r="C6" s="100"/>
      <c r="D6" s="100"/>
      <c r="E6" s="100"/>
      <c r="F6" s="4"/>
      <c r="G6" s="4"/>
      <c r="H6" s="4"/>
      <c r="I6" s="4"/>
      <c r="J6" s="4"/>
      <c r="K6" s="4"/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147"/>
      <c r="X6" s="148"/>
      <c r="Y6" s="149"/>
      <c r="Z6" s="107"/>
      <c r="AA6" s="107"/>
      <c r="AB6" s="107"/>
      <c r="AC6" s="107"/>
      <c r="AD6" s="107"/>
      <c r="AE6" s="107"/>
      <c r="AF6" s="107"/>
      <c r="AG6" s="107"/>
      <c r="AH6" s="108"/>
    </row>
    <row r="7" spans="2:78" ht="15.65" customHeight="1" x14ac:dyDescent="0.3">
      <c r="B7" s="101"/>
      <c r="C7" s="102"/>
      <c r="D7" s="102"/>
      <c r="E7" s="102"/>
      <c r="F7" s="7"/>
      <c r="G7" s="7"/>
      <c r="H7" s="8"/>
      <c r="I7" s="7" t="s">
        <v>11</v>
      </c>
      <c r="J7" s="7"/>
      <c r="K7" s="7"/>
      <c r="L7" s="7"/>
      <c r="M7" s="7"/>
      <c r="N7" s="7"/>
      <c r="O7" s="7"/>
      <c r="P7" s="8"/>
      <c r="Q7" s="7" t="s">
        <v>12</v>
      </c>
      <c r="R7" s="7"/>
      <c r="S7" s="7"/>
      <c r="T7" s="7"/>
      <c r="U7" s="7"/>
      <c r="V7" s="7"/>
      <c r="W7" s="150"/>
      <c r="X7" s="151"/>
      <c r="Y7" s="152"/>
      <c r="Z7" s="107"/>
      <c r="AA7" s="107"/>
      <c r="AB7" s="107"/>
      <c r="AC7" s="107"/>
      <c r="AD7" s="107"/>
      <c r="AE7" s="107"/>
      <c r="AF7" s="107"/>
      <c r="AG7" s="107"/>
      <c r="AH7" s="108"/>
    </row>
    <row r="8" spans="2:78" ht="18" customHeight="1" x14ac:dyDescent="0.3">
      <c r="B8" s="101"/>
      <c r="C8" s="102"/>
      <c r="D8" s="102"/>
      <c r="E8" s="102"/>
      <c r="F8" s="7"/>
      <c r="G8" s="7"/>
      <c r="H8" s="8"/>
      <c r="I8" s="7" t="s">
        <v>13</v>
      </c>
      <c r="J8" s="7"/>
      <c r="K8" s="7"/>
      <c r="L8" s="7"/>
      <c r="M8" s="7"/>
      <c r="N8" s="7"/>
      <c r="O8" s="7"/>
      <c r="P8" s="8"/>
      <c r="Q8" s="7" t="s">
        <v>14</v>
      </c>
      <c r="R8" s="7"/>
      <c r="S8" s="7"/>
      <c r="T8" s="7"/>
      <c r="U8" s="7"/>
      <c r="V8" s="7"/>
      <c r="W8" s="105" t="s">
        <v>15</v>
      </c>
      <c r="X8" s="81"/>
      <c r="Y8" s="81"/>
      <c r="Z8" s="81" t="s">
        <v>15</v>
      </c>
      <c r="AA8" s="81"/>
      <c r="AB8" s="81"/>
      <c r="AC8" s="81" t="s">
        <v>15</v>
      </c>
      <c r="AD8" s="81"/>
      <c r="AE8" s="81"/>
      <c r="AF8" s="81" t="s">
        <v>15</v>
      </c>
      <c r="AG8" s="81"/>
      <c r="AH8" s="82"/>
    </row>
    <row r="9" spans="2:78" ht="5.15" customHeight="1" thickBot="1" x14ac:dyDescent="0.35">
      <c r="B9" s="103"/>
      <c r="C9" s="104"/>
      <c r="D9" s="104"/>
      <c r="E9" s="104"/>
      <c r="F9" s="9"/>
      <c r="G9" s="9"/>
      <c r="H9" s="9"/>
      <c r="I9" s="9"/>
      <c r="J9" s="9"/>
      <c r="K9" s="9"/>
      <c r="L9" s="9"/>
      <c r="M9" s="9"/>
      <c r="N9" s="9"/>
      <c r="O9" s="9"/>
      <c r="P9" s="10"/>
      <c r="Q9" s="10"/>
      <c r="R9" s="10"/>
      <c r="S9" s="10"/>
      <c r="T9" s="10"/>
      <c r="U9" s="10"/>
      <c r="V9" s="10"/>
      <c r="W9" s="106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4"/>
    </row>
    <row r="10" spans="2:78" ht="13.5" thickTop="1" x14ac:dyDescent="0.3">
      <c r="B10" s="85" t="s">
        <v>16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7"/>
      <c r="Z10" s="85" t="s">
        <v>17</v>
      </c>
      <c r="AA10" s="86"/>
      <c r="AB10" s="86"/>
      <c r="AC10" s="86"/>
      <c r="AD10" s="86"/>
      <c r="AE10" s="86"/>
      <c r="AF10" s="86"/>
      <c r="AG10" s="86"/>
      <c r="AH10" s="87"/>
      <c r="BE10" s="3"/>
    </row>
    <row r="11" spans="2:78" x14ac:dyDescent="0.3">
      <c r="B11" s="11" t="s">
        <v>18</v>
      </c>
      <c r="C11" s="88" t="s">
        <v>19</v>
      </c>
      <c r="D11" s="88"/>
      <c r="E11" s="88"/>
      <c r="F11" s="88"/>
      <c r="G11" s="88"/>
      <c r="H11" s="88" t="s">
        <v>20</v>
      </c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 t="s">
        <v>21</v>
      </c>
      <c r="T11" s="88"/>
      <c r="U11" s="88"/>
      <c r="V11" s="88"/>
      <c r="W11" s="88" t="s">
        <v>22</v>
      </c>
      <c r="X11" s="88"/>
      <c r="Y11" s="89"/>
      <c r="Z11" s="90" t="s">
        <v>21</v>
      </c>
      <c r="AA11" s="88"/>
      <c r="AB11" s="88"/>
      <c r="AC11" s="88"/>
      <c r="AD11" s="88" t="s">
        <v>23</v>
      </c>
      <c r="AE11" s="88"/>
      <c r="AF11" s="88"/>
      <c r="AG11" s="88"/>
      <c r="AH11" s="89"/>
      <c r="AL11" s="12" t="s">
        <v>19</v>
      </c>
      <c r="AM11" s="12" t="s">
        <v>20</v>
      </c>
      <c r="AN11" s="12" t="s">
        <v>24</v>
      </c>
      <c r="AO11" s="13" t="s">
        <v>25</v>
      </c>
      <c r="AP11" s="14" t="s">
        <v>26</v>
      </c>
      <c r="AR11" s="15" t="s">
        <v>27</v>
      </c>
      <c r="AS11" s="15" t="s">
        <v>28</v>
      </c>
    </row>
    <row r="12" spans="2:78" s="17" customFormat="1" ht="16" customHeight="1" x14ac:dyDescent="0.3">
      <c r="B12" s="16">
        <v>1</v>
      </c>
      <c r="C12" s="57"/>
      <c r="D12" s="57"/>
      <c r="E12" s="57"/>
      <c r="F12" s="57"/>
      <c r="G12" s="57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57"/>
      <c r="T12" s="57"/>
      <c r="U12" s="57"/>
      <c r="V12" s="57"/>
      <c r="W12" s="57"/>
      <c r="X12" s="57"/>
      <c r="Y12" s="58"/>
      <c r="Z12" s="78"/>
      <c r="AA12" s="78"/>
      <c r="AB12" s="78"/>
      <c r="AC12" s="78"/>
      <c r="AD12" s="76"/>
      <c r="AE12" s="76"/>
      <c r="AF12" s="76"/>
      <c r="AG12" s="76"/>
      <c r="AH12" s="77"/>
      <c r="AK12" s="1"/>
      <c r="AL12" s="12" t="s">
        <v>29</v>
      </c>
      <c r="AM12" s="12" t="s">
        <v>30</v>
      </c>
      <c r="AN12" s="18">
        <f>480*1350</f>
        <v>648000</v>
      </c>
      <c r="AO12" s="13">
        <v>2</v>
      </c>
      <c r="AP12" s="19">
        <f>AO12*AN12</f>
        <v>1296000</v>
      </c>
      <c r="AQ12" s="1"/>
      <c r="AR12" s="20"/>
      <c r="AS12" s="21"/>
    </row>
    <row r="13" spans="2:78" s="17" customFormat="1" ht="16" customHeight="1" x14ac:dyDescent="0.3">
      <c r="B13" s="16">
        <v>2</v>
      </c>
      <c r="C13" s="57"/>
      <c r="D13" s="57"/>
      <c r="E13" s="57"/>
      <c r="F13" s="57"/>
      <c r="G13" s="57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57"/>
      <c r="T13" s="57"/>
      <c r="U13" s="57"/>
      <c r="V13" s="57"/>
      <c r="W13" s="57"/>
      <c r="X13" s="57"/>
      <c r="Y13" s="58"/>
      <c r="Z13" s="78"/>
      <c r="AA13" s="78"/>
      <c r="AB13" s="78"/>
      <c r="AC13" s="78"/>
      <c r="AD13" s="79"/>
      <c r="AE13" s="79"/>
      <c r="AF13" s="79"/>
      <c r="AG13" s="79"/>
      <c r="AH13" s="80"/>
      <c r="AK13" s="1"/>
      <c r="AL13" s="12" t="s">
        <v>31</v>
      </c>
      <c r="AM13" s="12" t="s">
        <v>32</v>
      </c>
      <c r="AN13" s="18">
        <f t="shared" ref="AN13:AN15" si="0">480*1350</f>
        <v>648000</v>
      </c>
      <c r="AO13" s="13"/>
      <c r="AP13" s="19">
        <f t="shared" ref="AP13:AP19" si="1">AO13*AN13</f>
        <v>0</v>
      </c>
      <c r="AQ13" s="1"/>
      <c r="AR13" s="20"/>
      <c r="AS13" s="21"/>
    </row>
    <row r="14" spans="2:78" s="17" customFormat="1" ht="16" customHeight="1" x14ac:dyDescent="0.3">
      <c r="B14" s="16">
        <v>3</v>
      </c>
      <c r="C14" s="57"/>
      <c r="D14" s="57"/>
      <c r="E14" s="57"/>
      <c r="F14" s="57"/>
      <c r="G14" s="57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57"/>
      <c r="T14" s="57"/>
      <c r="U14" s="57"/>
      <c r="V14" s="57"/>
      <c r="W14" s="57"/>
      <c r="X14" s="57"/>
      <c r="Y14" s="58"/>
      <c r="Z14" s="78"/>
      <c r="AA14" s="78"/>
      <c r="AB14" s="78"/>
      <c r="AC14" s="78"/>
      <c r="AD14" s="57"/>
      <c r="AE14" s="57"/>
      <c r="AF14" s="57"/>
      <c r="AG14" s="57"/>
      <c r="AH14" s="58"/>
      <c r="AK14" s="1"/>
      <c r="AL14" s="12" t="s">
        <v>33</v>
      </c>
      <c r="AM14" s="12" t="s">
        <v>34</v>
      </c>
      <c r="AN14" s="18">
        <f t="shared" si="0"/>
        <v>648000</v>
      </c>
      <c r="AO14" s="13"/>
      <c r="AP14" s="19">
        <f t="shared" si="1"/>
        <v>0</v>
      </c>
      <c r="AQ14" s="1"/>
      <c r="AR14" s="20"/>
      <c r="AS14" s="21"/>
    </row>
    <row r="15" spans="2:78" s="17" customFormat="1" ht="16" customHeight="1" x14ac:dyDescent="0.3">
      <c r="B15" s="16">
        <v>4</v>
      </c>
      <c r="C15" s="57"/>
      <c r="D15" s="57"/>
      <c r="E15" s="57"/>
      <c r="F15" s="57"/>
      <c r="G15" s="57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57"/>
      <c r="T15" s="57"/>
      <c r="U15" s="57"/>
      <c r="V15" s="57"/>
      <c r="W15" s="57"/>
      <c r="X15" s="57"/>
      <c r="Y15" s="58"/>
      <c r="Z15" s="75"/>
      <c r="AA15" s="75"/>
      <c r="AB15" s="75"/>
      <c r="AC15" s="75"/>
      <c r="AD15" s="76"/>
      <c r="AE15" s="76"/>
      <c r="AF15" s="76"/>
      <c r="AG15" s="76"/>
      <c r="AH15" s="77"/>
      <c r="AK15" s="1"/>
      <c r="AL15" s="12" t="s">
        <v>35</v>
      </c>
      <c r="AM15" s="12" t="s">
        <v>36</v>
      </c>
      <c r="AN15" s="18">
        <f t="shared" si="0"/>
        <v>648000</v>
      </c>
      <c r="AO15" s="13"/>
      <c r="AP15" s="19">
        <f t="shared" si="1"/>
        <v>0</v>
      </c>
      <c r="AQ15" s="1"/>
      <c r="AR15" s="20"/>
      <c r="AS15" s="21"/>
    </row>
    <row r="16" spans="2:78" s="17" customFormat="1" ht="16" customHeight="1" x14ac:dyDescent="0.3">
      <c r="B16" s="16">
        <v>5</v>
      </c>
      <c r="C16" s="57"/>
      <c r="D16" s="57"/>
      <c r="E16" s="57"/>
      <c r="F16" s="57"/>
      <c r="G16" s="57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57"/>
      <c r="T16" s="57"/>
      <c r="U16" s="57"/>
      <c r="V16" s="57"/>
      <c r="W16" s="57"/>
      <c r="X16" s="57"/>
      <c r="Y16" s="58"/>
      <c r="Z16" s="75"/>
      <c r="AA16" s="75"/>
      <c r="AB16" s="75"/>
      <c r="AC16" s="75"/>
      <c r="AD16" s="76"/>
      <c r="AE16" s="76"/>
      <c r="AF16" s="76"/>
      <c r="AG16" s="76"/>
      <c r="AH16" s="77"/>
      <c r="AK16" s="1"/>
      <c r="AL16" s="12" t="s">
        <v>37</v>
      </c>
      <c r="AM16" s="12" t="s">
        <v>38</v>
      </c>
      <c r="AN16" s="18">
        <f>480*3655</f>
        <v>1754400</v>
      </c>
      <c r="AO16" s="13"/>
      <c r="AP16" s="19">
        <f t="shared" si="1"/>
        <v>0</v>
      </c>
      <c r="AQ16" s="1"/>
      <c r="AR16" s="20"/>
      <c r="AS16" s="21"/>
    </row>
    <row r="17" spans="1:46" s="17" customFormat="1" ht="16" customHeight="1" x14ac:dyDescent="0.3">
      <c r="B17" s="16">
        <v>6</v>
      </c>
      <c r="C17" s="57"/>
      <c r="D17" s="57"/>
      <c r="E17" s="57"/>
      <c r="F17" s="57"/>
      <c r="G17" s="57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57"/>
      <c r="T17" s="57"/>
      <c r="U17" s="57"/>
      <c r="V17" s="57"/>
      <c r="W17" s="57"/>
      <c r="X17" s="57"/>
      <c r="Y17" s="58"/>
      <c r="Z17" s="75"/>
      <c r="AA17" s="75"/>
      <c r="AB17" s="75"/>
      <c r="AC17" s="75"/>
      <c r="AD17" s="71"/>
      <c r="AE17" s="72"/>
      <c r="AF17" s="72"/>
      <c r="AG17" s="72"/>
      <c r="AH17" s="73"/>
      <c r="AK17" s="1"/>
      <c r="AL17" s="12" t="s">
        <v>39</v>
      </c>
      <c r="AM17" s="12" t="s">
        <v>40</v>
      </c>
      <c r="AN17" s="18">
        <f>480*682</f>
        <v>327360</v>
      </c>
      <c r="AO17" s="13"/>
      <c r="AP17" s="19">
        <f t="shared" si="1"/>
        <v>0</v>
      </c>
      <c r="AQ17" s="1"/>
      <c r="AR17" s="20"/>
      <c r="AS17" s="21"/>
    </row>
    <row r="18" spans="1:46" s="17" customFormat="1" ht="16" customHeight="1" x14ac:dyDescent="0.3">
      <c r="B18" s="16">
        <v>7</v>
      </c>
      <c r="C18" s="57"/>
      <c r="D18" s="57"/>
      <c r="E18" s="57"/>
      <c r="F18" s="57"/>
      <c r="G18" s="57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57"/>
      <c r="T18" s="57"/>
      <c r="U18" s="57"/>
      <c r="V18" s="57"/>
      <c r="W18" s="57"/>
      <c r="X18" s="57"/>
      <c r="Y18" s="58"/>
      <c r="Z18" s="59"/>
      <c r="AA18" s="60"/>
      <c r="AB18" s="60"/>
      <c r="AC18" s="60"/>
      <c r="AD18" s="71"/>
      <c r="AE18" s="72"/>
      <c r="AF18" s="72"/>
      <c r="AG18" s="72"/>
      <c r="AH18" s="73"/>
      <c r="AK18" s="1"/>
      <c r="AL18" s="12" t="s">
        <v>41</v>
      </c>
      <c r="AM18" s="12" t="s">
        <v>42</v>
      </c>
      <c r="AN18" s="18">
        <f>480*682</f>
        <v>327360</v>
      </c>
      <c r="AO18" s="13"/>
      <c r="AP18" s="19">
        <f t="shared" si="1"/>
        <v>0</v>
      </c>
      <c r="AQ18" s="1"/>
      <c r="AR18" s="20"/>
      <c r="AS18" s="22"/>
    </row>
    <row r="19" spans="1:46" s="17" customFormat="1" ht="16" customHeight="1" x14ac:dyDescent="0.3">
      <c r="A19" s="17">
        <v>15</v>
      </c>
      <c r="B19" s="16">
        <v>8</v>
      </c>
      <c r="C19" s="57"/>
      <c r="D19" s="57"/>
      <c r="E19" s="57"/>
      <c r="F19" s="57"/>
      <c r="G19" s="57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57"/>
      <c r="T19" s="57"/>
      <c r="U19" s="57"/>
      <c r="V19" s="57"/>
      <c r="W19" s="57"/>
      <c r="X19" s="57"/>
      <c r="Y19" s="58"/>
      <c r="Z19" s="59"/>
      <c r="AA19" s="60"/>
      <c r="AB19" s="60"/>
      <c r="AC19" s="60"/>
      <c r="AD19" s="60"/>
      <c r="AE19" s="60"/>
      <c r="AF19" s="60"/>
      <c r="AG19" s="60"/>
      <c r="AH19" s="61"/>
      <c r="AK19" s="1"/>
      <c r="AL19" s="12" t="s">
        <v>43</v>
      </c>
      <c r="AM19" s="12" t="s">
        <v>44</v>
      </c>
      <c r="AN19" s="18">
        <f t="shared" ref="AN19" si="2">480*1350</f>
        <v>648000</v>
      </c>
      <c r="AO19" s="13"/>
      <c r="AP19" s="19">
        <f t="shared" si="1"/>
        <v>0</v>
      </c>
      <c r="AQ19" s="1"/>
      <c r="AR19" s="20"/>
      <c r="AS19" s="22"/>
    </row>
    <row r="20" spans="1:46" s="17" customFormat="1" ht="16" customHeight="1" x14ac:dyDescent="0.3">
      <c r="B20" s="16">
        <v>9</v>
      </c>
      <c r="C20" s="57"/>
      <c r="D20" s="57"/>
      <c r="E20" s="57"/>
      <c r="F20" s="57"/>
      <c r="G20" s="57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57"/>
      <c r="T20" s="57"/>
      <c r="U20" s="57"/>
      <c r="V20" s="57"/>
      <c r="W20" s="57"/>
      <c r="X20" s="57"/>
      <c r="Y20" s="58"/>
      <c r="Z20" s="59"/>
      <c r="AA20" s="60"/>
      <c r="AB20" s="60"/>
      <c r="AC20" s="60"/>
      <c r="AD20" s="70"/>
      <c r="AE20" s="60"/>
      <c r="AF20" s="60"/>
      <c r="AG20" s="60"/>
      <c r="AH20" s="61"/>
      <c r="AK20" s="1"/>
      <c r="AL20" s="12" t="s">
        <v>45</v>
      </c>
      <c r="AM20" s="12"/>
      <c r="AN20" s="18"/>
      <c r="AO20" s="13"/>
      <c r="AP20" s="19"/>
      <c r="AQ20" s="1"/>
      <c r="AR20" s="23">
        <v>3</v>
      </c>
      <c r="AS20" s="24">
        <v>2</v>
      </c>
    </row>
    <row r="21" spans="1:46" s="17" customFormat="1" ht="16" customHeight="1" x14ac:dyDescent="0.3">
      <c r="B21" s="16">
        <v>10</v>
      </c>
      <c r="C21" s="57"/>
      <c r="D21" s="57"/>
      <c r="E21" s="57"/>
      <c r="F21" s="57"/>
      <c r="G21" s="57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57"/>
      <c r="T21" s="57"/>
      <c r="U21" s="57"/>
      <c r="V21" s="57"/>
      <c r="W21" s="57"/>
      <c r="X21" s="57"/>
      <c r="Y21" s="58"/>
      <c r="Z21" s="65"/>
      <c r="AA21" s="60"/>
      <c r="AB21" s="60"/>
      <c r="AC21" s="60"/>
      <c r="AD21" s="57"/>
      <c r="AE21" s="57"/>
      <c r="AF21" s="57"/>
      <c r="AG21" s="57"/>
      <c r="AH21" s="58"/>
      <c r="AK21" s="1"/>
      <c r="AL21" s="12" t="s">
        <v>46</v>
      </c>
      <c r="AM21" s="12"/>
      <c r="AN21" s="18"/>
      <c r="AO21" s="13"/>
      <c r="AP21" s="19"/>
      <c r="AQ21" s="1"/>
      <c r="AR21" s="23">
        <v>3</v>
      </c>
      <c r="AS21" s="24">
        <v>2</v>
      </c>
    </row>
    <row r="22" spans="1:46" s="17" customFormat="1" ht="16" customHeight="1" x14ac:dyDescent="0.3">
      <c r="B22" s="16">
        <v>11</v>
      </c>
      <c r="C22" s="57"/>
      <c r="D22" s="57"/>
      <c r="E22" s="57"/>
      <c r="F22" s="57"/>
      <c r="G22" s="57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57"/>
      <c r="T22" s="57"/>
      <c r="U22" s="57"/>
      <c r="V22" s="57"/>
      <c r="W22" s="57"/>
      <c r="X22" s="57"/>
      <c r="Y22" s="58"/>
      <c r="Z22" s="59"/>
      <c r="AA22" s="60"/>
      <c r="AB22" s="60"/>
      <c r="AC22" s="60"/>
      <c r="AD22" s="57"/>
      <c r="AE22" s="57"/>
      <c r="AF22" s="57"/>
      <c r="AG22" s="57"/>
      <c r="AH22" s="58"/>
      <c r="AK22" s="1"/>
      <c r="AL22" s="12"/>
      <c r="AM22" s="12"/>
      <c r="AN22" s="18"/>
      <c r="AO22" s="13"/>
      <c r="AP22" s="19"/>
      <c r="AQ22" s="1"/>
      <c r="AR22" s="23"/>
      <c r="AS22" s="24"/>
    </row>
    <row r="23" spans="1:46" s="17" customFormat="1" ht="16" customHeight="1" x14ac:dyDescent="0.3">
      <c r="B23" s="16">
        <v>12</v>
      </c>
      <c r="C23" s="57"/>
      <c r="D23" s="57"/>
      <c r="E23" s="57"/>
      <c r="F23" s="57"/>
      <c r="G23" s="57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57"/>
      <c r="T23" s="57"/>
      <c r="U23" s="57"/>
      <c r="V23" s="57"/>
      <c r="W23" s="57"/>
      <c r="X23" s="57"/>
      <c r="Y23" s="58"/>
      <c r="Z23" s="68"/>
      <c r="AA23" s="69"/>
      <c r="AB23" s="69"/>
      <c r="AC23" s="69"/>
      <c r="AD23" s="66"/>
      <c r="AE23" s="66"/>
      <c r="AF23" s="66"/>
      <c r="AG23" s="66"/>
      <c r="AH23" s="67"/>
      <c r="AK23" s="1"/>
      <c r="AL23" s="12"/>
      <c r="AM23" s="12"/>
      <c r="AN23" s="18"/>
      <c r="AO23" s="13"/>
      <c r="AP23" s="19"/>
      <c r="AQ23" s="1"/>
      <c r="AR23" s="23"/>
      <c r="AS23" s="24"/>
    </row>
    <row r="24" spans="1:46" s="17" customFormat="1" ht="16" customHeight="1" x14ac:dyDescent="0.3">
      <c r="B24" s="16">
        <v>13</v>
      </c>
      <c r="C24" s="57"/>
      <c r="D24" s="57"/>
      <c r="E24" s="57"/>
      <c r="F24" s="57"/>
      <c r="G24" s="57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57"/>
      <c r="T24" s="57"/>
      <c r="U24" s="57"/>
      <c r="V24" s="57"/>
      <c r="W24" s="57"/>
      <c r="X24" s="57"/>
      <c r="Y24" s="58"/>
      <c r="Z24" s="65"/>
      <c r="AA24" s="60"/>
      <c r="AB24" s="60"/>
      <c r="AC24" s="60"/>
      <c r="AD24" s="66"/>
      <c r="AE24" s="66"/>
      <c r="AF24" s="66"/>
      <c r="AG24" s="66"/>
      <c r="AH24" s="67"/>
      <c r="AK24" s="1"/>
      <c r="AL24" s="12"/>
      <c r="AM24" s="12"/>
      <c r="AN24" s="18"/>
      <c r="AO24" s="13"/>
      <c r="AP24" s="19"/>
      <c r="AQ24" s="1"/>
      <c r="AR24" s="23"/>
      <c r="AS24" s="25"/>
    </row>
    <row r="25" spans="1:46" s="17" customFormat="1" ht="16" customHeight="1" x14ac:dyDescent="0.3">
      <c r="B25" s="16">
        <v>14</v>
      </c>
      <c r="C25" s="57"/>
      <c r="D25" s="57"/>
      <c r="E25" s="57"/>
      <c r="F25" s="57"/>
      <c r="G25" s="57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57"/>
      <c r="T25" s="57"/>
      <c r="U25" s="57"/>
      <c r="V25" s="57"/>
      <c r="W25" s="57"/>
      <c r="X25" s="57"/>
      <c r="Y25" s="58"/>
      <c r="Z25" s="62"/>
      <c r="AA25" s="63"/>
      <c r="AB25" s="63"/>
      <c r="AC25" s="64"/>
      <c r="AD25" s="60"/>
      <c r="AE25" s="60"/>
      <c r="AF25" s="60"/>
      <c r="AG25" s="60"/>
      <c r="AH25" s="61"/>
      <c r="AK25" s="1"/>
      <c r="AL25" s="12"/>
      <c r="AM25" s="12"/>
      <c r="AN25" s="18"/>
      <c r="AO25" s="13"/>
      <c r="AP25" s="19"/>
      <c r="AQ25" s="1"/>
      <c r="AR25" s="23"/>
      <c r="AS25" s="25"/>
    </row>
    <row r="26" spans="1:46" s="17" customFormat="1" ht="16" customHeight="1" x14ac:dyDescent="0.3">
      <c r="B26" s="16">
        <v>15</v>
      </c>
      <c r="C26" s="57"/>
      <c r="D26" s="57"/>
      <c r="E26" s="57"/>
      <c r="F26" s="57"/>
      <c r="G26" s="57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57"/>
      <c r="T26" s="57"/>
      <c r="U26" s="57"/>
      <c r="V26" s="57"/>
      <c r="W26" s="57"/>
      <c r="X26" s="57"/>
      <c r="Y26" s="58"/>
      <c r="Z26" s="59"/>
      <c r="AA26" s="60"/>
      <c r="AB26" s="60"/>
      <c r="AC26" s="60"/>
      <c r="AD26" s="60"/>
      <c r="AE26" s="60"/>
      <c r="AF26" s="60"/>
      <c r="AG26" s="60"/>
      <c r="AH26" s="61"/>
      <c r="AK26" s="1"/>
      <c r="AL26" s="12"/>
      <c r="AM26" s="12"/>
      <c r="AN26" s="18"/>
      <c r="AO26" s="13"/>
      <c r="AP26" s="19"/>
      <c r="AQ26" s="1"/>
      <c r="AR26" s="23"/>
      <c r="AS26" s="25"/>
    </row>
    <row r="27" spans="1:46" s="17" customFormat="1" ht="16" customHeight="1" thickBot="1" x14ac:dyDescent="0.35">
      <c r="B27" s="26"/>
      <c r="C27" s="135"/>
      <c r="D27" s="136"/>
      <c r="E27" s="136"/>
      <c r="F27" s="136"/>
      <c r="G27" s="137"/>
      <c r="H27" s="138"/>
      <c r="I27" s="139"/>
      <c r="J27" s="139"/>
      <c r="K27" s="139"/>
      <c r="L27" s="139"/>
      <c r="M27" s="139"/>
      <c r="N27" s="139"/>
      <c r="O27" s="139"/>
      <c r="P27" s="139"/>
      <c r="Q27" s="139"/>
      <c r="R27" s="140"/>
      <c r="S27" s="135"/>
      <c r="T27" s="136"/>
      <c r="U27" s="136"/>
      <c r="V27" s="137"/>
      <c r="W27" s="135"/>
      <c r="X27" s="136"/>
      <c r="Y27" s="141"/>
      <c r="Z27" s="142"/>
      <c r="AA27" s="143"/>
      <c r="AB27" s="143"/>
      <c r="AC27" s="144"/>
      <c r="AD27" s="145"/>
      <c r="AE27" s="143"/>
      <c r="AF27" s="143"/>
      <c r="AG27" s="143"/>
      <c r="AH27" s="146"/>
      <c r="AK27" s="1"/>
      <c r="AL27" s="12" t="s">
        <v>47</v>
      </c>
      <c r="AM27" s="12"/>
      <c r="AN27" s="18"/>
      <c r="AO27" s="19">
        <f>SUM(AO12:AO26)</f>
        <v>2</v>
      </c>
      <c r="AP27" s="19">
        <f>SUM(AP12:AP26)</f>
        <v>1296000</v>
      </c>
      <c r="AQ27" s="1"/>
      <c r="AR27" s="27"/>
      <c r="AS27" s="28"/>
    </row>
    <row r="28" spans="1:46" s="17" customFormat="1" ht="15" customHeight="1" thickTop="1" thickBot="1" x14ac:dyDescent="0.35">
      <c r="B28" s="39" t="s">
        <v>23</v>
      </c>
      <c r="C28" s="40"/>
      <c r="D28" s="40"/>
      <c r="E28" s="40"/>
      <c r="F28" s="40"/>
      <c r="G28" s="41"/>
      <c r="H28" s="42" t="s">
        <v>48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4"/>
      <c r="AK28" s="1"/>
      <c r="AL28" s="1"/>
      <c r="AM28" s="1"/>
      <c r="AN28" s="29"/>
      <c r="AO28" s="30"/>
      <c r="AP28" s="30"/>
      <c r="AQ28" s="30"/>
      <c r="AR28" s="30"/>
      <c r="AS28" s="30"/>
      <c r="AT28" s="30"/>
    </row>
    <row r="29" spans="1:46" ht="13.4" customHeight="1" thickTop="1" x14ac:dyDescent="0.3">
      <c r="A29" s="31"/>
      <c r="W29" s="45" t="s">
        <v>49</v>
      </c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31"/>
    </row>
    <row r="30" spans="1:46" ht="8.25" customHeight="1" x14ac:dyDescent="0.3"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spans="1:46" ht="16.399999999999999" hidden="1" customHeight="1" x14ac:dyDescent="0.3"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spans="1:46" ht="13.4" hidden="1" customHeight="1" x14ac:dyDescent="0.3"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spans="2:45" ht="12.75" hidden="1" customHeight="1" x14ac:dyDescent="0.3"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spans="2:45" ht="16.399999999999999" customHeight="1" x14ac:dyDescent="0.3"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spans="2:45" ht="13.4" customHeight="1" thickBot="1" x14ac:dyDescent="0.35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spans="2:45" ht="13.4" hidden="1" customHeight="1" thickBot="1" x14ac:dyDescent="0.3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</row>
    <row r="37" spans="2:45" ht="13" customHeight="1" thickTop="1" x14ac:dyDescent="0.3">
      <c r="B37" s="120"/>
      <c r="C37" s="121"/>
      <c r="D37" s="121"/>
      <c r="E37" s="121"/>
      <c r="F37" s="121"/>
      <c r="G37" s="124" t="s">
        <v>0</v>
      </c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5"/>
      <c r="W37" s="128" t="s">
        <v>1</v>
      </c>
      <c r="X37" s="129"/>
      <c r="Y37" s="129"/>
      <c r="Z37" s="129" t="s">
        <v>2</v>
      </c>
      <c r="AA37" s="129"/>
      <c r="AB37" s="129"/>
      <c r="AC37" s="129" t="s">
        <v>3</v>
      </c>
      <c r="AD37" s="129"/>
      <c r="AE37" s="129"/>
      <c r="AF37" s="130" t="s">
        <v>4</v>
      </c>
      <c r="AG37" s="130"/>
      <c r="AH37" s="131"/>
    </row>
    <row r="38" spans="2:45" ht="13" customHeight="1" x14ac:dyDescent="0.3">
      <c r="B38" s="122"/>
      <c r="C38" s="123"/>
      <c r="D38" s="123"/>
      <c r="E38" s="123"/>
      <c r="F38" s="123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7"/>
      <c r="W38" s="132" t="str">
        <f>IF(W3="","",W3)</f>
        <v/>
      </c>
      <c r="X38" s="133"/>
      <c r="Y38" s="134"/>
      <c r="Z38" s="107"/>
      <c r="AA38" s="107"/>
      <c r="AB38" s="107"/>
      <c r="AC38" s="107"/>
      <c r="AD38" s="107"/>
      <c r="AE38" s="107"/>
      <c r="AF38" s="107"/>
      <c r="AG38" s="107"/>
      <c r="AH38" s="108"/>
    </row>
    <row r="39" spans="2:45" ht="14.15" customHeight="1" x14ac:dyDescent="0.3">
      <c r="B39" s="109" t="s">
        <v>6</v>
      </c>
      <c r="C39" s="110"/>
      <c r="D39" s="110"/>
      <c r="E39" s="110"/>
      <c r="F39" s="111" t="str">
        <f>IF(F4="","",F4)</f>
        <v/>
      </c>
      <c r="G39" s="111"/>
      <c r="H39" s="111"/>
      <c r="I39" s="111"/>
      <c r="J39" s="111"/>
      <c r="K39" s="112"/>
      <c r="L39" s="113" t="s">
        <v>7</v>
      </c>
      <c r="M39" s="110"/>
      <c r="N39" s="114"/>
      <c r="O39" s="115" t="str">
        <f>IF(O4="","",O4)</f>
        <v/>
      </c>
      <c r="P39" s="111"/>
      <c r="Q39" s="111"/>
      <c r="R39" s="111"/>
      <c r="S39" s="111"/>
      <c r="T39" s="111"/>
      <c r="U39" s="111"/>
      <c r="V39" s="116"/>
      <c r="W39" s="93"/>
      <c r="X39" s="94"/>
      <c r="Y39" s="95"/>
      <c r="Z39" s="107"/>
      <c r="AA39" s="107"/>
      <c r="AB39" s="107"/>
      <c r="AC39" s="107"/>
      <c r="AD39" s="107"/>
      <c r="AE39" s="107"/>
      <c r="AF39" s="107"/>
      <c r="AG39" s="107"/>
      <c r="AH39" s="108"/>
    </row>
    <row r="40" spans="2:45" ht="14.15" customHeight="1" x14ac:dyDescent="0.3">
      <c r="B40" s="117" t="s">
        <v>8</v>
      </c>
      <c r="C40" s="118"/>
      <c r="D40" s="118"/>
      <c r="E40" s="119" t="s">
        <v>9</v>
      </c>
      <c r="F40" s="119"/>
      <c r="G40" s="119"/>
      <c r="H40" s="119"/>
      <c r="I40" s="119"/>
      <c r="J40" s="119"/>
      <c r="K40" s="119"/>
      <c r="L40" s="118" t="s">
        <v>10</v>
      </c>
      <c r="M40" s="118"/>
      <c r="N40" s="118"/>
      <c r="O40" s="91" t="str">
        <f>IF(O5="","",O5)</f>
        <v/>
      </c>
      <c r="P40" s="91"/>
      <c r="Q40" s="91"/>
      <c r="R40" s="91"/>
      <c r="S40" s="91"/>
      <c r="T40" s="91"/>
      <c r="U40" s="91"/>
      <c r="V40" s="92"/>
      <c r="W40" s="93" t="str">
        <f>IF(W5="","",W5)</f>
        <v/>
      </c>
      <c r="X40" s="94"/>
      <c r="Y40" s="95"/>
      <c r="Z40" s="107"/>
      <c r="AA40" s="107"/>
      <c r="AB40" s="107"/>
      <c r="AC40" s="107"/>
      <c r="AD40" s="107"/>
      <c r="AE40" s="107"/>
      <c r="AF40" s="107"/>
      <c r="AG40" s="107"/>
      <c r="AH40" s="108"/>
    </row>
    <row r="41" spans="2:45" ht="5.15" customHeight="1" x14ac:dyDescent="0.3">
      <c r="B41" s="99"/>
      <c r="C41" s="100"/>
      <c r="D41" s="100"/>
      <c r="E41" s="100"/>
      <c r="F41" s="4"/>
      <c r="G41" s="4"/>
      <c r="H41" s="4"/>
      <c r="I41" s="4"/>
      <c r="J41" s="4"/>
      <c r="K41" s="4"/>
      <c r="L41" s="5"/>
      <c r="M41" s="5"/>
      <c r="N41" s="5"/>
      <c r="O41" s="6"/>
      <c r="P41" s="6"/>
      <c r="Q41" s="6"/>
      <c r="R41" s="6"/>
      <c r="S41" s="6"/>
      <c r="T41" s="6"/>
      <c r="U41" s="6"/>
      <c r="V41" s="36"/>
      <c r="W41" s="93"/>
      <c r="X41" s="94"/>
      <c r="Y41" s="95"/>
      <c r="Z41" s="107"/>
      <c r="AA41" s="107"/>
      <c r="AB41" s="107"/>
      <c r="AC41" s="107"/>
      <c r="AD41" s="107"/>
      <c r="AE41" s="107"/>
      <c r="AF41" s="107"/>
      <c r="AG41" s="107"/>
      <c r="AH41" s="108"/>
    </row>
    <row r="42" spans="2:45" ht="15.65" customHeight="1" x14ac:dyDescent="0.3">
      <c r="B42" s="101"/>
      <c r="C42" s="102"/>
      <c r="D42" s="102"/>
      <c r="E42" s="102"/>
      <c r="F42" s="7"/>
      <c r="G42" s="7"/>
      <c r="H42" s="8"/>
      <c r="I42" s="7" t="s">
        <v>11</v>
      </c>
      <c r="J42" s="7"/>
      <c r="K42" s="7"/>
      <c r="L42" s="7"/>
      <c r="M42" s="7"/>
      <c r="N42" s="7"/>
      <c r="O42" s="7"/>
      <c r="P42" s="8"/>
      <c r="Q42" s="7" t="s">
        <v>12</v>
      </c>
      <c r="R42" s="7"/>
      <c r="S42" s="7"/>
      <c r="T42" s="7"/>
      <c r="U42" s="7"/>
      <c r="V42" s="37"/>
      <c r="W42" s="96"/>
      <c r="X42" s="97"/>
      <c r="Y42" s="98"/>
      <c r="Z42" s="107"/>
      <c r="AA42" s="107"/>
      <c r="AB42" s="107"/>
      <c r="AC42" s="107"/>
      <c r="AD42" s="107"/>
      <c r="AE42" s="107"/>
      <c r="AF42" s="107"/>
      <c r="AG42" s="107"/>
      <c r="AH42" s="108"/>
    </row>
    <row r="43" spans="2:45" ht="18" customHeight="1" x14ac:dyDescent="0.3">
      <c r="B43" s="101"/>
      <c r="C43" s="102"/>
      <c r="D43" s="102"/>
      <c r="E43" s="102"/>
      <c r="F43" s="7"/>
      <c r="G43" s="7"/>
      <c r="H43" s="8"/>
      <c r="I43" s="7" t="s">
        <v>13</v>
      </c>
      <c r="J43" s="7"/>
      <c r="K43" s="7"/>
      <c r="L43" s="7"/>
      <c r="M43" s="7"/>
      <c r="N43" s="7"/>
      <c r="O43" s="7"/>
      <c r="P43" s="8"/>
      <c r="Q43" s="7" t="s">
        <v>14</v>
      </c>
      <c r="R43" s="7"/>
      <c r="S43" s="7"/>
      <c r="T43" s="7"/>
      <c r="U43" s="7"/>
      <c r="V43" s="37"/>
      <c r="W43" s="105" t="s">
        <v>15</v>
      </c>
      <c r="X43" s="81"/>
      <c r="Y43" s="81"/>
      <c r="Z43" s="81" t="s">
        <v>15</v>
      </c>
      <c r="AA43" s="81"/>
      <c r="AB43" s="81"/>
      <c r="AC43" s="81" t="s">
        <v>15</v>
      </c>
      <c r="AD43" s="81"/>
      <c r="AE43" s="81"/>
      <c r="AF43" s="81" t="s">
        <v>15</v>
      </c>
      <c r="AG43" s="81"/>
      <c r="AH43" s="82"/>
    </row>
    <row r="44" spans="2:45" ht="5.15" customHeight="1" thickBot="1" x14ac:dyDescent="0.35">
      <c r="B44" s="103"/>
      <c r="C44" s="104"/>
      <c r="D44" s="104"/>
      <c r="E44" s="104"/>
      <c r="F44" s="9"/>
      <c r="G44" s="9"/>
      <c r="H44" s="9"/>
      <c r="I44" s="9"/>
      <c r="J44" s="9"/>
      <c r="K44" s="9"/>
      <c r="L44" s="9"/>
      <c r="M44" s="9"/>
      <c r="N44" s="9"/>
      <c r="O44" s="9"/>
      <c r="P44" s="10"/>
      <c r="Q44" s="10"/>
      <c r="R44" s="10"/>
      <c r="S44" s="10"/>
      <c r="T44" s="10"/>
      <c r="U44" s="10"/>
      <c r="V44" s="38"/>
      <c r="W44" s="106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4"/>
    </row>
    <row r="45" spans="2:45" ht="13.5" thickTop="1" x14ac:dyDescent="0.3">
      <c r="B45" s="85" t="s">
        <v>16</v>
      </c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7"/>
      <c r="Z45" s="85" t="s">
        <v>17</v>
      </c>
      <c r="AA45" s="86"/>
      <c r="AB45" s="86"/>
      <c r="AC45" s="86"/>
      <c r="AD45" s="86"/>
      <c r="AE45" s="86"/>
      <c r="AF45" s="86"/>
      <c r="AG45" s="86"/>
      <c r="AH45" s="87"/>
    </row>
    <row r="46" spans="2:45" x14ac:dyDescent="0.3">
      <c r="B46" s="11" t="s">
        <v>18</v>
      </c>
      <c r="C46" s="88" t="s">
        <v>19</v>
      </c>
      <c r="D46" s="88"/>
      <c r="E46" s="88"/>
      <c r="F46" s="88"/>
      <c r="G46" s="88"/>
      <c r="H46" s="88" t="s">
        <v>20</v>
      </c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 t="s">
        <v>21</v>
      </c>
      <c r="T46" s="88"/>
      <c r="U46" s="88"/>
      <c r="V46" s="88"/>
      <c r="W46" s="88" t="s">
        <v>22</v>
      </c>
      <c r="X46" s="88"/>
      <c r="Y46" s="89"/>
      <c r="Z46" s="90" t="s">
        <v>21</v>
      </c>
      <c r="AA46" s="88"/>
      <c r="AB46" s="88"/>
      <c r="AC46" s="88"/>
      <c r="AD46" s="88" t="s">
        <v>23</v>
      </c>
      <c r="AE46" s="88"/>
      <c r="AF46" s="88"/>
      <c r="AG46" s="88"/>
      <c r="AH46" s="89"/>
      <c r="AL46" s="12" t="s">
        <v>19</v>
      </c>
      <c r="AM46" s="12" t="s">
        <v>20</v>
      </c>
      <c r="AN46" s="12" t="s">
        <v>24</v>
      </c>
      <c r="AO46" s="13" t="s">
        <v>25</v>
      </c>
      <c r="AP46" s="14" t="s">
        <v>26</v>
      </c>
      <c r="AR46" s="15" t="s">
        <v>27</v>
      </c>
      <c r="AS46" s="15" t="s">
        <v>28</v>
      </c>
    </row>
    <row r="47" spans="2:45" s="17" customFormat="1" ht="16" customHeight="1" x14ac:dyDescent="0.3">
      <c r="B47" s="16">
        <v>1</v>
      </c>
      <c r="C47" s="46"/>
      <c r="D47" s="47"/>
      <c r="E47" s="47"/>
      <c r="F47" s="47"/>
      <c r="G47" s="48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57"/>
      <c r="T47" s="57"/>
      <c r="U47" s="57"/>
      <c r="V47" s="57"/>
      <c r="W47" s="57"/>
      <c r="X47" s="57"/>
      <c r="Y47" s="58"/>
      <c r="Z47" s="78"/>
      <c r="AA47" s="78"/>
      <c r="AB47" s="78"/>
      <c r="AC47" s="78"/>
      <c r="AD47" s="76"/>
      <c r="AE47" s="76"/>
      <c r="AF47" s="76"/>
      <c r="AG47" s="76"/>
      <c r="AH47" s="77"/>
      <c r="AK47" s="1"/>
      <c r="AL47" s="12"/>
      <c r="AM47" s="12"/>
      <c r="AN47" s="18"/>
      <c r="AO47" s="13"/>
      <c r="AP47" s="19">
        <f>AO47*AN47</f>
        <v>0</v>
      </c>
      <c r="AQ47" s="1"/>
      <c r="AR47" s="23"/>
      <c r="AS47" s="25"/>
    </row>
    <row r="48" spans="2:45" s="17" customFormat="1" ht="16" customHeight="1" x14ac:dyDescent="0.3">
      <c r="B48" s="16">
        <v>2</v>
      </c>
      <c r="C48" s="46"/>
      <c r="D48" s="47"/>
      <c r="E48" s="47"/>
      <c r="F48" s="47"/>
      <c r="G48" s="48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57"/>
      <c r="T48" s="57"/>
      <c r="U48" s="57"/>
      <c r="V48" s="57"/>
      <c r="W48" s="57"/>
      <c r="X48" s="57"/>
      <c r="Y48" s="58"/>
      <c r="Z48" s="78"/>
      <c r="AA48" s="78"/>
      <c r="AB48" s="78"/>
      <c r="AC48" s="78"/>
      <c r="AD48" s="79"/>
      <c r="AE48" s="79"/>
      <c r="AF48" s="79"/>
      <c r="AG48" s="79"/>
      <c r="AH48" s="80"/>
      <c r="AK48" s="1"/>
      <c r="AL48" s="12"/>
      <c r="AM48" s="12"/>
      <c r="AN48" s="18"/>
      <c r="AO48" s="13"/>
      <c r="AP48" s="19">
        <f t="shared" ref="AP48:AP58" si="3">AO48*AN48</f>
        <v>0</v>
      </c>
      <c r="AQ48" s="1"/>
      <c r="AR48" s="23"/>
      <c r="AS48" s="25"/>
    </row>
    <row r="49" spans="1:46" s="17" customFormat="1" ht="16" customHeight="1" x14ac:dyDescent="0.3">
      <c r="B49" s="16">
        <v>3</v>
      </c>
      <c r="C49" s="46"/>
      <c r="D49" s="47"/>
      <c r="E49" s="47"/>
      <c r="F49" s="47"/>
      <c r="G49" s="48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57"/>
      <c r="T49" s="57"/>
      <c r="U49" s="57"/>
      <c r="V49" s="57"/>
      <c r="W49" s="57"/>
      <c r="X49" s="57"/>
      <c r="Y49" s="58"/>
      <c r="Z49" s="78"/>
      <c r="AA49" s="78"/>
      <c r="AB49" s="78"/>
      <c r="AC49" s="78"/>
      <c r="AD49" s="57"/>
      <c r="AE49" s="57"/>
      <c r="AF49" s="57"/>
      <c r="AG49" s="57"/>
      <c r="AH49" s="58"/>
      <c r="AK49" s="1"/>
      <c r="AL49" s="12"/>
      <c r="AM49" s="12"/>
      <c r="AN49" s="18"/>
      <c r="AO49" s="13"/>
      <c r="AP49" s="19">
        <f t="shared" si="3"/>
        <v>0</v>
      </c>
      <c r="AQ49" s="1"/>
      <c r="AR49" s="23"/>
      <c r="AS49" s="25"/>
    </row>
    <row r="50" spans="1:46" s="17" customFormat="1" ht="16" customHeight="1" x14ac:dyDescent="0.3">
      <c r="B50" s="16">
        <v>4</v>
      </c>
      <c r="C50" s="46"/>
      <c r="D50" s="47"/>
      <c r="E50" s="47"/>
      <c r="F50" s="47"/>
      <c r="G50" s="48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57"/>
      <c r="T50" s="57"/>
      <c r="U50" s="57"/>
      <c r="V50" s="57"/>
      <c r="W50" s="57"/>
      <c r="X50" s="57"/>
      <c r="Y50" s="58"/>
      <c r="Z50" s="75"/>
      <c r="AA50" s="75"/>
      <c r="AB50" s="75"/>
      <c r="AC50" s="75"/>
      <c r="AD50" s="76"/>
      <c r="AE50" s="76"/>
      <c r="AF50" s="76"/>
      <c r="AG50" s="76"/>
      <c r="AH50" s="77"/>
      <c r="AK50" s="1"/>
      <c r="AL50" s="12"/>
      <c r="AM50" s="12"/>
      <c r="AN50" s="18"/>
      <c r="AO50" s="13"/>
      <c r="AP50" s="19">
        <f t="shared" si="3"/>
        <v>0</v>
      </c>
      <c r="AQ50" s="1"/>
      <c r="AR50" s="23"/>
      <c r="AS50" s="25"/>
    </row>
    <row r="51" spans="1:46" s="17" customFormat="1" ht="16" customHeight="1" x14ac:dyDescent="0.3">
      <c r="B51" s="16">
        <v>5</v>
      </c>
      <c r="C51" s="46"/>
      <c r="D51" s="47"/>
      <c r="E51" s="47"/>
      <c r="F51" s="47"/>
      <c r="G51" s="48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57"/>
      <c r="T51" s="57"/>
      <c r="U51" s="57"/>
      <c r="V51" s="57"/>
      <c r="W51" s="57"/>
      <c r="X51" s="57"/>
      <c r="Y51" s="58"/>
      <c r="Z51" s="75"/>
      <c r="AA51" s="75"/>
      <c r="AB51" s="75"/>
      <c r="AC51" s="75"/>
      <c r="AD51" s="76"/>
      <c r="AE51" s="76"/>
      <c r="AF51" s="76"/>
      <c r="AG51" s="76"/>
      <c r="AH51" s="77"/>
      <c r="AK51" s="1"/>
      <c r="AL51" s="12"/>
      <c r="AM51" s="12"/>
      <c r="AN51" s="18"/>
      <c r="AO51" s="13"/>
      <c r="AP51" s="19">
        <f t="shared" si="3"/>
        <v>0</v>
      </c>
      <c r="AQ51" s="1"/>
      <c r="AR51" s="23"/>
      <c r="AS51" s="25"/>
    </row>
    <row r="52" spans="1:46" s="17" customFormat="1" ht="16" customHeight="1" x14ac:dyDescent="0.3">
      <c r="B52" s="16">
        <v>6</v>
      </c>
      <c r="C52" s="46"/>
      <c r="D52" s="47"/>
      <c r="E52" s="47"/>
      <c r="F52" s="47"/>
      <c r="G52" s="48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57"/>
      <c r="T52" s="57"/>
      <c r="U52" s="57"/>
      <c r="V52" s="57"/>
      <c r="W52" s="57"/>
      <c r="X52" s="57"/>
      <c r="Y52" s="58"/>
      <c r="Z52" s="75"/>
      <c r="AA52" s="75"/>
      <c r="AB52" s="75"/>
      <c r="AC52" s="75"/>
      <c r="AD52" s="71"/>
      <c r="AE52" s="72"/>
      <c r="AF52" s="72"/>
      <c r="AG52" s="72"/>
      <c r="AH52" s="73"/>
      <c r="AK52" s="1"/>
      <c r="AL52" s="12"/>
      <c r="AM52" s="12"/>
      <c r="AN52" s="18"/>
      <c r="AO52" s="13"/>
      <c r="AP52" s="19">
        <f t="shared" si="3"/>
        <v>0</v>
      </c>
      <c r="AQ52" s="1"/>
      <c r="AR52" s="23"/>
      <c r="AS52" s="25"/>
    </row>
    <row r="53" spans="1:46" s="17" customFormat="1" ht="16" customHeight="1" x14ac:dyDescent="0.3">
      <c r="B53" s="16">
        <v>7</v>
      </c>
      <c r="C53" s="46"/>
      <c r="D53" s="47"/>
      <c r="E53" s="47"/>
      <c r="F53" s="47"/>
      <c r="G53" s="48"/>
      <c r="H53" s="49"/>
      <c r="I53" s="50"/>
      <c r="J53" s="50"/>
      <c r="K53" s="50"/>
      <c r="L53" s="50"/>
      <c r="M53" s="50"/>
      <c r="N53" s="50"/>
      <c r="O53" s="50"/>
      <c r="P53" s="50"/>
      <c r="Q53" s="50"/>
      <c r="R53" s="51"/>
      <c r="S53" s="57"/>
      <c r="T53" s="57"/>
      <c r="U53" s="57"/>
      <c r="V53" s="57"/>
      <c r="W53" s="57"/>
      <c r="X53" s="57"/>
      <c r="Y53" s="58"/>
      <c r="Z53" s="59"/>
      <c r="AA53" s="60"/>
      <c r="AB53" s="60"/>
      <c r="AC53" s="60"/>
      <c r="AD53" s="71"/>
      <c r="AE53" s="72"/>
      <c r="AF53" s="72"/>
      <c r="AG53" s="72"/>
      <c r="AH53" s="73"/>
      <c r="AK53" s="1"/>
      <c r="AL53" s="12"/>
      <c r="AM53" s="12"/>
      <c r="AN53" s="18"/>
      <c r="AO53" s="13"/>
      <c r="AP53" s="19">
        <f t="shared" si="3"/>
        <v>0</v>
      </c>
      <c r="AQ53" s="1"/>
      <c r="AR53" s="23"/>
      <c r="AS53" s="24"/>
    </row>
    <row r="54" spans="1:46" s="17" customFormat="1" ht="16" customHeight="1" x14ac:dyDescent="0.3">
      <c r="A54" s="17">
        <v>15</v>
      </c>
      <c r="B54" s="16">
        <v>8</v>
      </c>
      <c r="C54" s="46"/>
      <c r="D54" s="47"/>
      <c r="E54" s="47"/>
      <c r="F54" s="47"/>
      <c r="G54" s="48"/>
      <c r="H54" s="49"/>
      <c r="I54" s="50"/>
      <c r="J54" s="50"/>
      <c r="K54" s="50"/>
      <c r="L54" s="50"/>
      <c r="M54" s="50"/>
      <c r="N54" s="50"/>
      <c r="O54" s="50"/>
      <c r="P54" s="50"/>
      <c r="Q54" s="50"/>
      <c r="R54" s="51"/>
      <c r="S54" s="57"/>
      <c r="T54" s="57"/>
      <c r="U54" s="57"/>
      <c r="V54" s="57"/>
      <c r="W54" s="57"/>
      <c r="X54" s="57"/>
      <c r="Y54" s="58"/>
      <c r="Z54" s="59"/>
      <c r="AA54" s="60"/>
      <c r="AB54" s="60"/>
      <c r="AC54" s="60"/>
      <c r="AD54" s="60"/>
      <c r="AE54" s="60"/>
      <c r="AF54" s="60"/>
      <c r="AG54" s="60"/>
      <c r="AH54" s="61"/>
      <c r="AK54" s="1"/>
      <c r="AL54" s="12"/>
      <c r="AM54" s="12"/>
      <c r="AN54" s="18"/>
      <c r="AO54" s="13"/>
      <c r="AP54" s="19">
        <f t="shared" si="3"/>
        <v>0</v>
      </c>
      <c r="AQ54" s="1"/>
      <c r="AR54" s="23"/>
      <c r="AS54" s="24"/>
    </row>
    <row r="55" spans="1:46" s="17" customFormat="1" ht="16" customHeight="1" x14ac:dyDescent="0.3">
      <c r="B55" s="16">
        <v>9</v>
      </c>
      <c r="C55" s="46"/>
      <c r="D55" s="47"/>
      <c r="E55" s="47"/>
      <c r="F55" s="47"/>
      <c r="G55" s="48"/>
      <c r="H55" s="49"/>
      <c r="I55" s="50"/>
      <c r="J55" s="50"/>
      <c r="K55" s="50"/>
      <c r="L55" s="50"/>
      <c r="M55" s="50"/>
      <c r="N55" s="50"/>
      <c r="O55" s="50"/>
      <c r="P55" s="50"/>
      <c r="Q55" s="50"/>
      <c r="R55" s="51"/>
      <c r="S55" s="57"/>
      <c r="T55" s="57"/>
      <c r="U55" s="57"/>
      <c r="V55" s="57"/>
      <c r="W55" s="57"/>
      <c r="X55" s="57"/>
      <c r="Y55" s="58"/>
      <c r="Z55" s="59"/>
      <c r="AA55" s="60"/>
      <c r="AB55" s="60"/>
      <c r="AC55" s="60"/>
      <c r="AD55" s="70"/>
      <c r="AE55" s="60"/>
      <c r="AF55" s="60"/>
      <c r="AG55" s="60"/>
      <c r="AH55" s="61"/>
      <c r="AK55" s="1"/>
      <c r="AL55" s="12"/>
      <c r="AM55" s="12"/>
      <c r="AN55" s="18"/>
      <c r="AO55" s="13"/>
      <c r="AP55" s="19">
        <f t="shared" si="3"/>
        <v>0</v>
      </c>
      <c r="AQ55" s="1"/>
      <c r="AR55" s="23"/>
      <c r="AS55" s="24"/>
    </row>
    <row r="56" spans="1:46" s="17" customFormat="1" ht="16" customHeight="1" x14ac:dyDescent="0.3">
      <c r="B56" s="16">
        <v>10</v>
      </c>
      <c r="C56" s="46"/>
      <c r="D56" s="47"/>
      <c r="E56" s="47"/>
      <c r="F56" s="47"/>
      <c r="G56" s="48"/>
      <c r="H56" s="49"/>
      <c r="I56" s="50"/>
      <c r="J56" s="50"/>
      <c r="K56" s="50"/>
      <c r="L56" s="50"/>
      <c r="M56" s="50"/>
      <c r="N56" s="50"/>
      <c r="O56" s="50"/>
      <c r="P56" s="50"/>
      <c r="Q56" s="50"/>
      <c r="R56" s="51"/>
      <c r="S56" s="57"/>
      <c r="T56" s="57"/>
      <c r="U56" s="57"/>
      <c r="V56" s="57"/>
      <c r="W56" s="57"/>
      <c r="X56" s="57"/>
      <c r="Y56" s="58"/>
      <c r="Z56" s="65"/>
      <c r="AA56" s="60"/>
      <c r="AB56" s="60"/>
      <c r="AC56" s="60"/>
      <c r="AD56" s="57"/>
      <c r="AE56" s="57"/>
      <c r="AF56" s="57"/>
      <c r="AG56" s="57"/>
      <c r="AH56" s="58"/>
      <c r="AK56" s="1"/>
      <c r="AL56" s="12"/>
      <c r="AM56" s="12"/>
      <c r="AN56" s="18"/>
      <c r="AO56" s="13"/>
      <c r="AP56" s="19">
        <f t="shared" si="3"/>
        <v>0</v>
      </c>
      <c r="AQ56" s="1"/>
      <c r="AR56" s="23"/>
      <c r="AS56" s="24"/>
    </row>
    <row r="57" spans="1:46" s="17" customFormat="1" ht="16" customHeight="1" x14ac:dyDescent="0.3">
      <c r="B57" s="16">
        <v>11</v>
      </c>
      <c r="C57" s="46"/>
      <c r="D57" s="47"/>
      <c r="E57" s="47"/>
      <c r="F57" s="47"/>
      <c r="G57" s="48"/>
      <c r="H57" s="49"/>
      <c r="I57" s="50"/>
      <c r="J57" s="50"/>
      <c r="K57" s="50"/>
      <c r="L57" s="50"/>
      <c r="M57" s="50"/>
      <c r="N57" s="50"/>
      <c r="O57" s="50"/>
      <c r="P57" s="50"/>
      <c r="Q57" s="50"/>
      <c r="R57" s="51"/>
      <c r="S57" s="57"/>
      <c r="T57" s="57"/>
      <c r="U57" s="57"/>
      <c r="V57" s="57"/>
      <c r="W57" s="57"/>
      <c r="X57" s="57"/>
      <c r="Y57" s="58"/>
      <c r="Z57" s="59"/>
      <c r="AA57" s="60"/>
      <c r="AB57" s="60"/>
      <c r="AC57" s="60"/>
      <c r="AD57" s="57"/>
      <c r="AE57" s="57"/>
      <c r="AF57" s="57"/>
      <c r="AG57" s="57"/>
      <c r="AH57" s="58"/>
      <c r="AK57" s="1"/>
      <c r="AL57" s="12"/>
      <c r="AM57" s="12"/>
      <c r="AN57" s="18"/>
      <c r="AO57" s="13"/>
      <c r="AP57" s="19">
        <f t="shared" si="3"/>
        <v>0</v>
      </c>
      <c r="AQ57" s="1"/>
      <c r="AR57" s="23"/>
      <c r="AS57" s="24"/>
    </row>
    <row r="58" spans="1:46" s="17" customFormat="1" ht="16" customHeight="1" x14ac:dyDescent="0.3">
      <c r="B58" s="16">
        <v>12</v>
      </c>
      <c r="C58" s="46"/>
      <c r="D58" s="47"/>
      <c r="E58" s="47"/>
      <c r="F58" s="47"/>
      <c r="G58" s="48"/>
      <c r="H58" s="49"/>
      <c r="I58" s="50"/>
      <c r="J58" s="50"/>
      <c r="K58" s="50"/>
      <c r="L58" s="50"/>
      <c r="M58" s="50"/>
      <c r="N58" s="50"/>
      <c r="O58" s="50"/>
      <c r="P58" s="50"/>
      <c r="Q58" s="50"/>
      <c r="R58" s="51"/>
      <c r="S58" s="57"/>
      <c r="T58" s="57"/>
      <c r="U58" s="57"/>
      <c r="V58" s="57"/>
      <c r="W58" s="57"/>
      <c r="X58" s="57"/>
      <c r="Y58" s="58"/>
      <c r="Z58" s="68"/>
      <c r="AA58" s="69"/>
      <c r="AB58" s="69"/>
      <c r="AC58" s="69"/>
      <c r="AD58" s="66"/>
      <c r="AE58" s="66"/>
      <c r="AF58" s="66"/>
      <c r="AG58" s="66"/>
      <c r="AH58" s="67"/>
      <c r="AK58" s="1"/>
      <c r="AL58" s="12"/>
      <c r="AM58" s="12"/>
      <c r="AN58" s="18"/>
      <c r="AO58" s="13"/>
      <c r="AP58" s="19">
        <f t="shared" si="3"/>
        <v>0</v>
      </c>
      <c r="AQ58" s="1"/>
      <c r="AR58" s="23"/>
      <c r="AS58" s="24"/>
    </row>
    <row r="59" spans="1:46" s="17" customFormat="1" ht="16" customHeight="1" x14ac:dyDescent="0.3">
      <c r="B59" s="16">
        <v>13</v>
      </c>
      <c r="C59" s="46"/>
      <c r="D59" s="47"/>
      <c r="E59" s="47"/>
      <c r="F59" s="47"/>
      <c r="G59" s="48"/>
      <c r="H59" s="49"/>
      <c r="I59" s="50"/>
      <c r="J59" s="50"/>
      <c r="K59" s="50"/>
      <c r="L59" s="50"/>
      <c r="M59" s="50"/>
      <c r="N59" s="50"/>
      <c r="O59" s="50"/>
      <c r="P59" s="50"/>
      <c r="Q59" s="50"/>
      <c r="R59" s="51"/>
      <c r="S59" s="57"/>
      <c r="T59" s="57"/>
      <c r="U59" s="57"/>
      <c r="V59" s="57"/>
      <c r="W59" s="57"/>
      <c r="X59" s="57"/>
      <c r="Y59" s="58"/>
      <c r="Z59" s="65"/>
      <c r="AA59" s="60"/>
      <c r="AB59" s="60"/>
      <c r="AC59" s="60"/>
      <c r="AD59" s="66"/>
      <c r="AE59" s="66"/>
      <c r="AF59" s="66"/>
      <c r="AG59" s="66"/>
      <c r="AH59" s="67"/>
      <c r="AK59" s="1"/>
      <c r="AL59" s="12"/>
      <c r="AM59" s="12"/>
      <c r="AN59" s="18"/>
      <c r="AO59" s="13"/>
      <c r="AP59" s="19"/>
      <c r="AQ59" s="1"/>
      <c r="AR59" s="23"/>
      <c r="AS59" s="25"/>
    </row>
    <row r="60" spans="1:46" s="17" customFormat="1" ht="16" customHeight="1" x14ac:dyDescent="0.3">
      <c r="B60" s="16">
        <v>14</v>
      </c>
      <c r="C60" s="46"/>
      <c r="D60" s="47"/>
      <c r="E60" s="47"/>
      <c r="F60" s="47"/>
      <c r="G60" s="48"/>
      <c r="H60" s="49"/>
      <c r="I60" s="50"/>
      <c r="J60" s="50"/>
      <c r="K60" s="50"/>
      <c r="L60" s="50"/>
      <c r="M60" s="50"/>
      <c r="N60" s="50"/>
      <c r="O60" s="50"/>
      <c r="P60" s="50"/>
      <c r="Q60" s="50"/>
      <c r="R60" s="51"/>
      <c r="S60" s="57" t="str">
        <f>IFERROR(ROUNDUP(#REF!*#REF!/#REF!,#REF!)-AR60,"")</f>
        <v/>
      </c>
      <c r="T60" s="57"/>
      <c r="U60" s="57"/>
      <c r="V60" s="57"/>
      <c r="W60" s="57"/>
      <c r="X60" s="57"/>
      <c r="Y60" s="58"/>
      <c r="Z60" s="62"/>
      <c r="AA60" s="63"/>
      <c r="AB60" s="63"/>
      <c r="AC60" s="64"/>
      <c r="AD60" s="60"/>
      <c r="AE60" s="60"/>
      <c r="AF60" s="60"/>
      <c r="AG60" s="60"/>
      <c r="AH60" s="61"/>
      <c r="AK60" s="1"/>
      <c r="AL60" s="12"/>
      <c r="AM60" s="12"/>
      <c r="AN60" s="18"/>
      <c r="AO60" s="13"/>
      <c r="AP60" s="19"/>
      <c r="AQ60" s="1"/>
      <c r="AR60" s="23"/>
      <c r="AS60" s="25"/>
    </row>
    <row r="61" spans="1:46" s="17" customFormat="1" ht="16" customHeight="1" x14ac:dyDescent="0.3">
      <c r="B61" s="16">
        <v>15</v>
      </c>
      <c r="C61" s="46"/>
      <c r="D61" s="47"/>
      <c r="E61" s="47"/>
      <c r="F61" s="47"/>
      <c r="G61" s="48"/>
      <c r="H61" s="49"/>
      <c r="I61" s="50"/>
      <c r="J61" s="50"/>
      <c r="K61" s="50"/>
      <c r="L61" s="50"/>
      <c r="M61" s="50"/>
      <c r="N61" s="50"/>
      <c r="O61" s="50"/>
      <c r="P61" s="50"/>
      <c r="Q61" s="50"/>
      <c r="R61" s="51"/>
      <c r="S61" s="57"/>
      <c r="T61" s="57"/>
      <c r="U61" s="57"/>
      <c r="V61" s="57"/>
      <c r="W61" s="57"/>
      <c r="X61" s="57"/>
      <c r="Y61" s="58"/>
      <c r="Z61" s="59"/>
      <c r="AA61" s="60"/>
      <c r="AB61" s="60"/>
      <c r="AC61" s="60"/>
      <c r="AD61" s="60"/>
      <c r="AE61" s="60"/>
      <c r="AF61" s="60"/>
      <c r="AG61" s="60"/>
      <c r="AH61" s="61"/>
      <c r="AK61" s="1"/>
      <c r="AL61" s="12"/>
      <c r="AM61" s="12"/>
      <c r="AN61" s="18"/>
      <c r="AO61" s="13"/>
      <c r="AP61" s="19"/>
      <c r="AQ61" s="1"/>
      <c r="AR61" s="23"/>
      <c r="AS61" s="25"/>
    </row>
    <row r="62" spans="1:46" s="17" customFormat="1" ht="16" customHeight="1" thickBot="1" x14ac:dyDescent="0.35">
      <c r="B62" s="26"/>
      <c r="C62" s="46"/>
      <c r="D62" s="47"/>
      <c r="E62" s="47"/>
      <c r="F62" s="47"/>
      <c r="G62" s="48"/>
      <c r="H62" s="49"/>
      <c r="I62" s="50"/>
      <c r="J62" s="50"/>
      <c r="K62" s="50"/>
      <c r="L62" s="50"/>
      <c r="M62" s="50"/>
      <c r="N62" s="50"/>
      <c r="O62" s="50"/>
      <c r="P62" s="50"/>
      <c r="Q62" s="50"/>
      <c r="R62" s="51"/>
      <c r="S62" s="52"/>
      <c r="T62" s="52"/>
      <c r="U62" s="52"/>
      <c r="V62" s="52"/>
      <c r="W62" s="52"/>
      <c r="X62" s="52"/>
      <c r="Y62" s="53"/>
      <c r="Z62" s="54"/>
      <c r="AA62" s="55"/>
      <c r="AB62" s="55"/>
      <c r="AC62" s="55"/>
      <c r="AD62" s="55"/>
      <c r="AE62" s="55"/>
      <c r="AF62" s="55"/>
      <c r="AG62" s="55"/>
      <c r="AH62" s="56"/>
      <c r="AK62" s="1"/>
      <c r="AL62" s="12" t="s">
        <v>47</v>
      </c>
      <c r="AM62" s="12"/>
      <c r="AN62" s="18"/>
      <c r="AO62" s="19">
        <f>SUM(AO47:AO61)</f>
        <v>0</v>
      </c>
      <c r="AP62" s="19">
        <f>SUM(AP47:AP61)</f>
        <v>0</v>
      </c>
      <c r="AQ62" s="1"/>
      <c r="AR62" s="27"/>
      <c r="AS62" s="28"/>
    </row>
    <row r="63" spans="1:46" s="17" customFormat="1" ht="15" customHeight="1" thickTop="1" thickBot="1" x14ac:dyDescent="0.35">
      <c r="B63" s="39" t="s">
        <v>23</v>
      </c>
      <c r="C63" s="40"/>
      <c r="D63" s="40"/>
      <c r="E63" s="40"/>
      <c r="F63" s="40"/>
      <c r="G63" s="41"/>
      <c r="H63" s="42" t="s">
        <v>48</v>
      </c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4"/>
      <c r="AK63" s="1"/>
      <c r="AL63" s="1"/>
      <c r="AM63" s="1"/>
      <c r="AN63" s="29"/>
      <c r="AO63" s="30"/>
      <c r="AP63" s="30"/>
      <c r="AQ63" s="30"/>
      <c r="AR63" s="30"/>
      <c r="AS63" s="30"/>
      <c r="AT63" s="30"/>
    </row>
    <row r="64" spans="1:46" ht="13.5" thickTop="1" x14ac:dyDescent="0.3">
      <c r="W64" s="45" t="s">
        <v>49</v>
      </c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</row>
  </sheetData>
  <protectedRanges>
    <protectedRange sqref="C12:AH26" name="Range1"/>
    <protectedRange sqref="C47:AH61" name="Range2"/>
    <protectedRange sqref="P7:P8 H7:H8 H42:H43 P42:P43" name="Range3"/>
  </protectedRanges>
  <mergeCells count="262">
    <mergeCell ref="W2:Y2"/>
    <mergeCell ref="Z2:AB2"/>
    <mergeCell ref="AC2:AE2"/>
    <mergeCell ref="AF2:AH2"/>
    <mergeCell ref="W3:Y4"/>
    <mergeCell ref="Z3:AB7"/>
    <mergeCell ref="AC3:AE7"/>
    <mergeCell ref="AF3:AH7"/>
    <mergeCell ref="B4:E4"/>
    <mergeCell ref="F4:K4"/>
    <mergeCell ref="L4:N4"/>
    <mergeCell ref="O4:V4"/>
    <mergeCell ref="B5:D5"/>
    <mergeCell ref="E5:K5"/>
    <mergeCell ref="L5:N5"/>
    <mergeCell ref="O5:V5"/>
    <mergeCell ref="B2:F3"/>
    <mergeCell ref="G2:V3"/>
    <mergeCell ref="B10:Y10"/>
    <mergeCell ref="Z10:AH10"/>
    <mergeCell ref="C11:G11"/>
    <mergeCell ref="H11:R11"/>
    <mergeCell ref="S11:V11"/>
    <mergeCell ref="W11:Y11"/>
    <mergeCell ref="Z11:AC11"/>
    <mergeCell ref="AD11:AH11"/>
    <mergeCell ref="W5:Y7"/>
    <mergeCell ref="B6:E9"/>
    <mergeCell ref="W8:Y9"/>
    <mergeCell ref="Z8:AB9"/>
    <mergeCell ref="AC8:AE9"/>
    <mergeCell ref="AF8:AH9"/>
    <mergeCell ref="C13:G13"/>
    <mergeCell ref="H13:R13"/>
    <mergeCell ref="S13:V13"/>
    <mergeCell ref="W13:Y13"/>
    <mergeCell ref="Z13:AC13"/>
    <mergeCell ref="AD13:AH13"/>
    <mergeCell ref="C12:G12"/>
    <mergeCell ref="H12:R12"/>
    <mergeCell ref="S12:V12"/>
    <mergeCell ref="W12:Y12"/>
    <mergeCell ref="Z12:AC12"/>
    <mergeCell ref="AD12:AH12"/>
    <mergeCell ref="C15:G15"/>
    <mergeCell ref="H15:R15"/>
    <mergeCell ref="S15:V15"/>
    <mergeCell ref="W15:Y15"/>
    <mergeCell ref="Z15:AC15"/>
    <mergeCell ref="AD15:AH15"/>
    <mergeCell ref="C14:G14"/>
    <mergeCell ref="H14:R14"/>
    <mergeCell ref="S14:V14"/>
    <mergeCell ref="W14:Y14"/>
    <mergeCell ref="Z14:AC14"/>
    <mergeCell ref="AD14:AH14"/>
    <mergeCell ref="C17:G17"/>
    <mergeCell ref="H17:R17"/>
    <mergeCell ref="S17:V17"/>
    <mergeCell ref="W17:Y17"/>
    <mergeCell ref="Z17:AC17"/>
    <mergeCell ref="AD17:AH17"/>
    <mergeCell ref="C16:G16"/>
    <mergeCell ref="H16:R16"/>
    <mergeCell ref="S16:V16"/>
    <mergeCell ref="W16:Y16"/>
    <mergeCell ref="Z16:AC16"/>
    <mergeCell ref="AD16:AH16"/>
    <mergeCell ref="C19:G19"/>
    <mergeCell ref="H19:R19"/>
    <mergeCell ref="S19:V19"/>
    <mergeCell ref="W19:Y19"/>
    <mergeCell ref="Z19:AC19"/>
    <mergeCell ref="AD19:AH19"/>
    <mergeCell ref="C18:G18"/>
    <mergeCell ref="H18:R18"/>
    <mergeCell ref="S18:V18"/>
    <mergeCell ref="W18:Y18"/>
    <mergeCell ref="Z18:AC18"/>
    <mergeCell ref="AD18:AH18"/>
    <mergeCell ref="C21:G21"/>
    <mergeCell ref="H21:R21"/>
    <mergeCell ref="S21:V21"/>
    <mergeCell ref="W21:Y21"/>
    <mergeCell ref="Z21:AC21"/>
    <mergeCell ref="AD21:AH21"/>
    <mergeCell ref="C20:G20"/>
    <mergeCell ref="H20:R20"/>
    <mergeCell ref="S20:V20"/>
    <mergeCell ref="W20:Y20"/>
    <mergeCell ref="Z20:AC20"/>
    <mergeCell ref="AD20:AH20"/>
    <mergeCell ref="C23:G23"/>
    <mergeCell ref="H23:R23"/>
    <mergeCell ref="S23:V23"/>
    <mergeCell ref="W23:Y23"/>
    <mergeCell ref="Z23:AC23"/>
    <mergeCell ref="AD23:AH23"/>
    <mergeCell ref="C22:G22"/>
    <mergeCell ref="H22:R22"/>
    <mergeCell ref="S22:V22"/>
    <mergeCell ref="W22:Y22"/>
    <mergeCell ref="Z22:AC22"/>
    <mergeCell ref="AD22:AH22"/>
    <mergeCell ref="C25:G25"/>
    <mergeCell ref="H25:R25"/>
    <mergeCell ref="S25:V25"/>
    <mergeCell ref="W25:Y25"/>
    <mergeCell ref="Z25:AC25"/>
    <mergeCell ref="AD25:AH25"/>
    <mergeCell ref="C24:G24"/>
    <mergeCell ref="H24:R24"/>
    <mergeCell ref="S24:V24"/>
    <mergeCell ref="W24:Y24"/>
    <mergeCell ref="Z24:AC24"/>
    <mergeCell ref="AD24:AH24"/>
    <mergeCell ref="C27:G27"/>
    <mergeCell ref="H27:R27"/>
    <mergeCell ref="S27:V27"/>
    <mergeCell ref="W27:Y27"/>
    <mergeCell ref="Z27:AC27"/>
    <mergeCell ref="AD27:AH27"/>
    <mergeCell ref="C26:G26"/>
    <mergeCell ref="H26:R26"/>
    <mergeCell ref="S26:V26"/>
    <mergeCell ref="W26:Y26"/>
    <mergeCell ref="Z26:AC26"/>
    <mergeCell ref="AD26:AH26"/>
    <mergeCell ref="B28:G28"/>
    <mergeCell ref="H28:AH28"/>
    <mergeCell ref="W29:AH29"/>
    <mergeCell ref="B37:F38"/>
    <mergeCell ref="G37:V38"/>
    <mergeCell ref="W37:Y37"/>
    <mergeCell ref="Z37:AB37"/>
    <mergeCell ref="AC37:AE37"/>
    <mergeCell ref="AF37:AH37"/>
    <mergeCell ref="W38:Y39"/>
    <mergeCell ref="O40:V40"/>
    <mergeCell ref="W40:Y42"/>
    <mergeCell ref="B41:E44"/>
    <mergeCell ref="W43:Y44"/>
    <mergeCell ref="Z43:AB44"/>
    <mergeCell ref="AC43:AE44"/>
    <mergeCell ref="Z38:AB42"/>
    <mergeCell ref="AC38:AE42"/>
    <mergeCell ref="AF38:AH42"/>
    <mergeCell ref="B39:E39"/>
    <mergeCell ref="F39:K39"/>
    <mergeCell ref="L39:N39"/>
    <mergeCell ref="O39:V39"/>
    <mergeCell ref="B40:D40"/>
    <mergeCell ref="E40:K40"/>
    <mergeCell ref="L40:N40"/>
    <mergeCell ref="C47:G47"/>
    <mergeCell ref="H47:R47"/>
    <mergeCell ref="S47:V47"/>
    <mergeCell ref="W47:Y47"/>
    <mergeCell ref="Z47:AC47"/>
    <mergeCell ref="AD47:AH47"/>
    <mergeCell ref="AF43:AH44"/>
    <mergeCell ref="B45:Y45"/>
    <mergeCell ref="Z45:AH45"/>
    <mergeCell ref="C46:G46"/>
    <mergeCell ref="H46:R46"/>
    <mergeCell ref="S46:V46"/>
    <mergeCell ref="W46:Y46"/>
    <mergeCell ref="Z46:AC46"/>
    <mergeCell ref="AD46:AH46"/>
    <mergeCell ref="C49:G49"/>
    <mergeCell ref="H49:R49"/>
    <mergeCell ref="S49:V49"/>
    <mergeCell ref="W49:Y49"/>
    <mergeCell ref="Z49:AC49"/>
    <mergeCell ref="AD49:AH49"/>
    <mergeCell ref="C48:G48"/>
    <mergeCell ref="H48:R48"/>
    <mergeCell ref="S48:V48"/>
    <mergeCell ref="W48:Y48"/>
    <mergeCell ref="Z48:AC48"/>
    <mergeCell ref="AD48:AH48"/>
    <mergeCell ref="C51:G51"/>
    <mergeCell ref="H51:R51"/>
    <mergeCell ref="S51:V51"/>
    <mergeCell ref="W51:Y51"/>
    <mergeCell ref="Z51:AC51"/>
    <mergeCell ref="AD51:AH51"/>
    <mergeCell ref="C50:G50"/>
    <mergeCell ref="H50:R50"/>
    <mergeCell ref="S50:V50"/>
    <mergeCell ref="W50:Y50"/>
    <mergeCell ref="Z50:AC50"/>
    <mergeCell ref="AD50:AH50"/>
    <mergeCell ref="C53:G53"/>
    <mergeCell ref="H53:R53"/>
    <mergeCell ref="S53:V53"/>
    <mergeCell ref="W53:Y53"/>
    <mergeCell ref="Z53:AC53"/>
    <mergeCell ref="AD53:AH53"/>
    <mergeCell ref="C52:G52"/>
    <mergeCell ref="H52:R52"/>
    <mergeCell ref="S52:V52"/>
    <mergeCell ref="W52:Y52"/>
    <mergeCell ref="Z52:AC52"/>
    <mergeCell ref="AD52:AH52"/>
    <mergeCell ref="C55:G55"/>
    <mergeCell ref="H55:R55"/>
    <mergeCell ref="S55:V55"/>
    <mergeCell ref="W55:Y55"/>
    <mergeCell ref="Z55:AC55"/>
    <mergeCell ref="AD55:AH55"/>
    <mergeCell ref="C54:G54"/>
    <mergeCell ref="H54:R54"/>
    <mergeCell ref="S54:V54"/>
    <mergeCell ref="W54:Y54"/>
    <mergeCell ref="Z54:AC54"/>
    <mergeCell ref="AD54:AH54"/>
    <mergeCell ref="C57:G57"/>
    <mergeCell ref="H57:R57"/>
    <mergeCell ref="S57:V57"/>
    <mergeCell ref="W57:Y57"/>
    <mergeCell ref="Z57:AC57"/>
    <mergeCell ref="AD57:AH57"/>
    <mergeCell ref="C56:G56"/>
    <mergeCell ref="H56:R56"/>
    <mergeCell ref="S56:V56"/>
    <mergeCell ref="W56:Y56"/>
    <mergeCell ref="Z56:AC56"/>
    <mergeCell ref="AD56:AH56"/>
    <mergeCell ref="C59:G59"/>
    <mergeCell ref="H59:R59"/>
    <mergeCell ref="S59:V59"/>
    <mergeCell ref="W59:Y59"/>
    <mergeCell ref="Z59:AC59"/>
    <mergeCell ref="AD59:AH59"/>
    <mergeCell ref="C58:G58"/>
    <mergeCell ref="H58:R58"/>
    <mergeCell ref="S58:V58"/>
    <mergeCell ref="W58:Y58"/>
    <mergeCell ref="Z58:AC58"/>
    <mergeCell ref="AD58:AH58"/>
    <mergeCell ref="C61:G61"/>
    <mergeCell ref="H61:R61"/>
    <mergeCell ref="S61:V61"/>
    <mergeCell ref="W61:Y61"/>
    <mergeCell ref="Z61:AC61"/>
    <mergeCell ref="AD61:AH61"/>
    <mergeCell ref="C60:G60"/>
    <mergeCell ref="H60:R60"/>
    <mergeCell ref="S60:V60"/>
    <mergeCell ref="W60:Y60"/>
    <mergeCell ref="Z60:AC60"/>
    <mergeCell ref="AD60:AH60"/>
    <mergeCell ref="B63:G63"/>
    <mergeCell ref="H63:AH63"/>
    <mergeCell ref="W64:AH64"/>
    <mergeCell ref="C62:G62"/>
    <mergeCell ref="H62:R62"/>
    <mergeCell ref="S62:V62"/>
    <mergeCell ref="W62:Y62"/>
    <mergeCell ref="Z62:AC62"/>
    <mergeCell ref="AD62:AH62"/>
  </mergeCells>
  <dataValidations count="1">
    <dataValidation type="list" allowBlank="1" showInputMessage="1" showErrorMessage="1" sqref="P7:P8 H7:H8 H42:H43 P42:P43" xr:uid="{264E98E9-70D6-4E27-94AF-0511F8265100}">
      <formula1>$BZ$2:$BZ$7</formula1>
    </dataValidation>
  </dataValidations>
  <printOptions horizontalCentered="1" verticalCentered="1"/>
  <pageMargins left="0" right="0" top="0" bottom="0" header="0" footer="0"/>
  <pageSetup paperSize="9" scale="95" fitToWidth="0" orientation="portrait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RIS_1</vt:lpstr>
      <vt:lpstr>RIS_2</vt:lpstr>
      <vt:lpstr>RIS_3</vt:lpstr>
      <vt:lpstr>RIS_4</vt:lpstr>
      <vt:lpstr>RIS_5</vt:lpstr>
      <vt:lpstr>ORIGINAL</vt:lpstr>
      <vt:lpstr>ORIGINAL!Print_Area</vt:lpstr>
      <vt:lpstr>RIS_1!Print_Area</vt:lpstr>
      <vt:lpstr>RIS_2!Print_Area</vt:lpstr>
      <vt:lpstr>RIS_3!Print_Area</vt:lpstr>
      <vt:lpstr>RIS_4!Print_Area</vt:lpstr>
      <vt:lpstr>RIS_5!Print_Area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Semitec Philippines</dc:creator>
  <cp:lastModifiedBy>Semitec Philippines</cp:lastModifiedBy>
  <dcterms:created xsi:type="dcterms:W3CDTF">2026-05-14T05:33:03Z</dcterms:created>
  <dcterms:modified xsi:type="dcterms:W3CDTF">2026-05-28T10:44:03Z</dcterms:modified>
</cp:coreProperties>
</file>